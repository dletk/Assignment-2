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5" yWindow="30" windowWidth="19320" windowHeight="13620" tabRatio="111"/>
  </bookViews>
  <sheets>
    <sheet name="Time Sheet" sheetId="1" r:id="rId1"/>
  </sheets>
  <definedNames>
    <definedName name="_xlnm._FilterDatabase" localSheetId="0" hidden="1">'Time Sheet'!#REF!</definedName>
    <definedName name="_xlnm.Print_Area" localSheetId="0">'Time Sheet'!$A$1:$M$54</definedName>
  </definedNames>
  <calcPr calcId="145621" iterateDelta="4.1486142249243762E-271"/>
</workbook>
</file>

<file path=xl/calcChain.xml><?xml version="1.0" encoding="utf-8"?>
<calcChain xmlns="http://schemas.openxmlformats.org/spreadsheetml/2006/main">
  <c r="Y11" i="1" l="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O31" i="1"/>
  <c r="F31" i="1" s="1"/>
  <c r="O35" i="1"/>
  <c r="F35" i="1" s="1"/>
  <c r="O39" i="1"/>
  <c r="E39" i="1" s="1"/>
  <c r="O42" i="1"/>
  <c r="E42" i="1" s="1"/>
  <c r="O43" i="1"/>
  <c r="O29" i="1"/>
  <c r="P29" i="1" s="1"/>
  <c r="E29" i="1"/>
  <c r="O20" i="1"/>
  <c r="O24" i="1"/>
  <c r="E24" i="1" s="1"/>
  <c r="O25" i="1"/>
  <c r="B11" i="1"/>
  <c r="T11" i="1"/>
  <c r="O11" i="1"/>
  <c r="B12" i="1"/>
  <c r="T12" i="1"/>
  <c r="O12" i="1"/>
  <c r="F12" i="1" s="1"/>
  <c r="B13" i="1"/>
  <c r="T13" i="1"/>
  <c r="O13" i="1" s="1"/>
  <c r="B14" i="1"/>
  <c r="T14" i="1"/>
  <c r="U14" i="1" s="1"/>
  <c r="B15" i="1"/>
  <c r="T15" i="1"/>
  <c r="O15" i="1"/>
  <c r="F15" i="1" s="1"/>
  <c r="B16" i="1"/>
  <c r="T16" i="1"/>
  <c r="O16" i="1" s="1"/>
  <c r="B17" i="1"/>
  <c r="T17" i="1"/>
  <c r="O17" i="1" s="1"/>
  <c r="B18" i="1"/>
  <c r="T18" i="1"/>
  <c r="O18" i="1" s="1"/>
  <c r="F18" i="1" s="1"/>
  <c r="B19" i="1"/>
  <c r="T19" i="1"/>
  <c r="B20" i="1"/>
  <c r="T20" i="1"/>
  <c r="B21" i="1"/>
  <c r="T21" i="1"/>
  <c r="O21" i="1" s="1"/>
  <c r="B22" i="1"/>
  <c r="T22" i="1"/>
  <c r="O22" i="1" s="1"/>
  <c r="B23" i="1"/>
  <c r="T23" i="1"/>
  <c r="B24" i="1"/>
  <c r="T24" i="1"/>
  <c r="B25" i="1"/>
  <c r="T25" i="1"/>
  <c r="B29" i="1"/>
  <c r="T29" i="1"/>
  <c r="B30" i="1"/>
  <c r="T30" i="1"/>
  <c r="B31" i="1"/>
  <c r="T31" i="1"/>
  <c r="B32" i="1"/>
  <c r="T32" i="1"/>
  <c r="O32" i="1" s="1"/>
  <c r="B33" i="1"/>
  <c r="T33" i="1"/>
  <c r="O33" i="1" s="1"/>
  <c r="E33" i="1" s="1"/>
  <c r="B34" i="1"/>
  <c r="T34" i="1"/>
  <c r="B35" i="1"/>
  <c r="T35" i="1"/>
  <c r="B36" i="1"/>
  <c r="T36" i="1"/>
  <c r="O36" i="1" s="1"/>
  <c r="E36" i="1" s="1"/>
  <c r="B37" i="1"/>
  <c r="T37" i="1"/>
  <c r="O37" i="1" s="1"/>
  <c r="E37" i="1" s="1"/>
  <c r="B38" i="1"/>
  <c r="T38" i="1"/>
  <c r="B39" i="1"/>
  <c r="T39" i="1"/>
  <c r="B40" i="1"/>
  <c r="T40" i="1"/>
  <c r="O40" i="1" s="1"/>
  <c r="B41" i="1"/>
  <c r="T41" i="1"/>
  <c r="O41" i="1" s="1"/>
  <c r="F41" i="1" s="1"/>
  <c r="B42" i="1"/>
  <c r="T42" i="1"/>
  <c r="U42" i="1" s="1"/>
  <c r="B43" i="1"/>
  <c r="T43" i="1"/>
  <c r="E40" i="1"/>
  <c r="F40" i="1"/>
  <c r="F20" i="1"/>
  <c r="E20" i="1"/>
  <c r="Q43" i="1"/>
  <c r="E35" i="1"/>
  <c r="E31" i="1"/>
  <c r="F24" i="1"/>
  <c r="U43" i="1"/>
  <c r="U41" i="1"/>
  <c r="U40" i="1"/>
  <c r="U39" i="1"/>
  <c r="U37" i="1"/>
  <c r="U36" i="1"/>
  <c r="U35" i="1"/>
  <c r="U33" i="1"/>
  <c r="U32" i="1"/>
  <c r="U31" i="1"/>
  <c r="U29" i="1"/>
  <c r="U25" i="1"/>
  <c r="U24" i="1"/>
  <c r="U22" i="1"/>
  <c r="U21" i="1"/>
  <c r="U20" i="1"/>
  <c r="U18" i="1"/>
  <c r="U17" i="1"/>
  <c r="U16" i="1"/>
  <c r="U15" i="1"/>
  <c r="U12" i="1"/>
  <c r="F36" i="1"/>
  <c r="F37" i="1"/>
  <c r="F42" i="1"/>
  <c r="U11" i="1"/>
  <c r="O14" i="1"/>
  <c r="F13" i="1"/>
  <c r="E13" i="1"/>
  <c r="E12" i="1"/>
  <c r="E15" i="1"/>
  <c r="E21" i="1" l="1"/>
  <c r="F21" i="1"/>
  <c r="E17" i="1"/>
  <c r="F17" i="1"/>
  <c r="P30" i="1"/>
  <c r="F22" i="1"/>
  <c r="E22" i="1"/>
  <c r="E25" i="1"/>
  <c r="F25" i="1"/>
  <c r="F14" i="1"/>
  <c r="E14" i="1"/>
  <c r="F39" i="1"/>
  <c r="F16" i="1"/>
  <c r="E16" i="1"/>
  <c r="E11" i="1"/>
  <c r="P11" i="1"/>
  <c r="P12" i="1" s="1"/>
  <c r="F33" i="1"/>
  <c r="U13" i="1"/>
  <c r="E41" i="1"/>
  <c r="U38" i="1"/>
  <c r="O38" i="1"/>
  <c r="U34" i="1"/>
  <c r="O34" i="1"/>
  <c r="F32" i="1"/>
  <c r="E32" i="1"/>
  <c r="O30" i="1"/>
  <c r="U30" i="1"/>
  <c r="U23" i="1"/>
  <c r="O23" i="1"/>
  <c r="U19" i="1"/>
  <c r="O19" i="1"/>
  <c r="F43" i="1"/>
  <c r="E43" i="1"/>
  <c r="E18" i="1"/>
  <c r="F23" i="1" l="1"/>
  <c r="E23" i="1"/>
  <c r="Q30" i="1"/>
  <c r="P31" i="1"/>
  <c r="P32" i="1" s="1"/>
  <c r="P33" i="1" s="1"/>
  <c r="P34" i="1" s="1"/>
  <c r="P35" i="1" s="1"/>
  <c r="P36" i="1" s="1"/>
  <c r="P37" i="1" s="1"/>
  <c r="P38" i="1" s="1"/>
  <c r="P39" i="1" s="1"/>
  <c r="P40" i="1" s="1"/>
  <c r="P41" i="1" s="1"/>
  <c r="P42" i="1" s="1"/>
  <c r="P43" i="1" s="1"/>
  <c r="P13" i="1"/>
  <c r="P14" i="1" s="1"/>
  <c r="P15" i="1" s="1"/>
  <c r="P16" i="1" s="1"/>
  <c r="P17" i="1" s="1"/>
  <c r="P18" i="1" s="1"/>
  <c r="P19" i="1" s="1"/>
  <c r="P20" i="1" s="1"/>
  <c r="P21" i="1" s="1"/>
  <c r="P22" i="1" s="1"/>
  <c r="P23" i="1" s="1"/>
  <c r="P24" i="1" s="1"/>
  <c r="P25" i="1" s="1"/>
  <c r="Q12" i="1"/>
  <c r="Q13" i="1" s="1"/>
  <c r="Q14" i="1" s="1"/>
  <c r="Q15" i="1" s="1"/>
  <c r="Q16" i="1" s="1"/>
  <c r="Q17" i="1" s="1"/>
  <c r="Q18" i="1" s="1"/>
  <c r="Q19" i="1" s="1"/>
  <c r="Q20" i="1" s="1"/>
  <c r="Q21" i="1" s="1"/>
  <c r="Q22" i="1" s="1"/>
  <c r="Q23" i="1" s="1"/>
  <c r="Q24" i="1" s="1"/>
  <c r="Q25" i="1" s="1"/>
  <c r="E19" i="1"/>
  <c r="F19" i="1"/>
  <c r="F26" i="1" s="1"/>
  <c r="F46" i="1" s="1"/>
  <c r="F34" i="1"/>
  <c r="E34" i="1"/>
  <c r="E26" i="1"/>
  <c r="F30" i="1"/>
  <c r="F44" i="1" s="1"/>
  <c r="E30" i="1"/>
  <c r="E38" i="1"/>
  <c r="F38" i="1"/>
  <c r="E46" i="1" l="1"/>
  <c r="D48" i="1" s="1"/>
  <c r="Q31" i="1"/>
  <c r="Q32" i="1" s="1"/>
  <c r="Q33" i="1" s="1"/>
  <c r="Q34" i="1" s="1"/>
  <c r="Q35" i="1" s="1"/>
  <c r="Q36" i="1" s="1"/>
  <c r="Q37" i="1" s="1"/>
  <c r="Q38" i="1" s="1"/>
  <c r="Q39" i="1" s="1"/>
  <c r="Q40" i="1" s="1"/>
  <c r="Q41" i="1" s="1"/>
  <c r="Q42" i="1" s="1"/>
  <c r="E44" i="1"/>
</calcChain>
</file>

<file path=xl/sharedStrings.xml><?xml version="1.0" encoding="utf-8"?>
<sst xmlns="http://schemas.openxmlformats.org/spreadsheetml/2006/main" count="48" uniqueCount="42">
  <si>
    <t>Date</t>
  </si>
  <si>
    <t>Time In</t>
  </si>
  <si>
    <t>Time Out</t>
  </si>
  <si>
    <t>PAY PERIOD ENDING DATE:</t>
  </si>
  <si>
    <t>Employee Signature:</t>
  </si>
  <si>
    <t>Supervisor Signature:</t>
  </si>
  <si>
    <t>Date:</t>
  </si>
  <si>
    <t>Fri</t>
  </si>
  <si>
    <t>Sat</t>
  </si>
  <si>
    <t>Sun</t>
  </si>
  <si>
    <t>Mon</t>
  </si>
  <si>
    <t>Tues</t>
  </si>
  <si>
    <t>Wed</t>
  </si>
  <si>
    <t>Thurs</t>
  </si>
  <si>
    <t>Subtotal Week 1:</t>
  </si>
  <si>
    <t>Subtotal Week 2:</t>
  </si>
  <si>
    <t>Pay Period Total Hours:</t>
  </si>
  <si>
    <t>worked</t>
  </si>
  <si>
    <t>Supervisor's Printed Name:</t>
  </si>
  <si>
    <t>NAME:</t>
  </si>
  <si>
    <t>ID:</t>
  </si>
  <si>
    <t>BRYN MAWR COLLEGE STUDENT TIME SHEET</t>
  </si>
  <si>
    <t>16-DIGIT ACCOUNT:</t>
  </si>
  <si>
    <t>DEPARTMENT NAME:</t>
  </si>
  <si>
    <t>RATE OF PAY:</t>
  </si>
  <si>
    <t>Regular</t>
  </si>
  <si>
    <t>Overtime</t>
  </si>
  <si>
    <t>Grand Totals:</t>
  </si>
  <si>
    <t>cumulative</t>
  </si>
  <si>
    <t>ot cumul</t>
  </si>
  <si>
    <t>Week 1</t>
  </si>
  <si>
    <t>Week 2</t>
  </si>
  <si>
    <t>Record Time In and Time Out for each day worked.</t>
  </si>
  <si>
    <r>
      <t>Identification:</t>
    </r>
    <r>
      <rPr>
        <sz val="8"/>
        <rFont val="Arial"/>
        <family val="2"/>
      </rPr>
      <t xml:space="preserve">
Your 7 digit BMC ID number (Haverford ID’s are not accepted), Legal Name (no nicknames), 16-digit Account Code and Rate of Pay are required.  If you do not have this information, ask your supervisor.  If you currently have multiple jobs, a separate time sheet must be completed for each of your jobs for each pay period for which you are submitting hours.</t>
    </r>
    <r>
      <rPr>
        <b/>
        <sz val="8"/>
        <rFont val="Arial"/>
        <family val="2"/>
      </rPr>
      <t/>
    </r>
  </si>
  <si>
    <r>
      <t xml:space="preserve">Recording Date and Time: 
</t>
    </r>
    <r>
      <rPr>
        <sz val="8"/>
        <rFont val="Arial"/>
        <family val="2"/>
      </rPr>
      <t>Enter the period ending date according to the payroll schedule.  You will need to complete a separate time sheet if you need to submit hours from a prior pay period.  When entering the dates worked, simply choose the day of the week you worked and the date will be automatically populated for you.  Time should be recorded by using numbers 1 to 12 to identify the hours in a day and 01 through 59 to identify the minutes in a day and indicate AM or PM (Please remember that noon is 12 PM).</t>
    </r>
  </si>
  <si>
    <r>
      <t xml:space="preserve">Recording Time In and Out and Hours Worked: 
</t>
    </r>
    <r>
      <rPr>
        <sz val="8"/>
        <rFont val="Arial"/>
        <family val="2"/>
      </rPr>
      <t>You are required to record your time in and out for each day worked.  If you take multiple breaks during any given day, you must add it on a new line by choosing the same day of the week. The hours per day will be automatically calculated for you.</t>
    </r>
  </si>
  <si>
    <r>
      <t xml:space="preserve">Recording Overtime Hours: 
</t>
    </r>
    <r>
      <rPr>
        <sz val="8"/>
        <rFont val="Arial"/>
        <family val="2"/>
      </rPr>
      <t>Overtime does not occur until your hours exceed forty hours in a work week.  When overtime is applicable, Excel will calculate it automatically.</t>
    </r>
  </si>
  <si>
    <r>
      <t xml:space="preserve">Signatures: 
</t>
    </r>
    <r>
      <rPr>
        <sz val="8"/>
        <rFont val="Arial"/>
        <family val="2"/>
      </rPr>
      <t>When your time sheet has been completed, print it, sign it and give it to your supervisor for his/her signature.  Save a copy for your records.
Your signed time sheet must then be sent to campus box 1680 A or via campus mail to the Payroll Office.
Your signature indicates that you agree that the totaled hours are correct as recorded on your time sheet.
Your supervisor’s signature is necessary to authorize payment for your hours.  Your time sheet will not be processed without your supervisor’s signature.</t>
    </r>
  </si>
  <si>
    <t>start calc</t>
  </si>
  <si>
    <t>out hour</t>
  </si>
  <si>
    <t>pay period</t>
  </si>
  <si>
    <t>v1.3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</si>
</sst>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
    <numFmt numFmtId="165" formatCode="[$-409]h:mm\ AM/PM;@"/>
    <numFmt numFmtId="166" formatCode="#\-#####\-#####\-#####"/>
    <numFmt numFmtId="167" formatCode="0.00;;"/>
  </numFmts>
  <fonts count="13" x14ac:knownFonts="1">
    <font>
      <sz val="10"/>
      <name val="Arial"/>
    </font>
    <font>
      <sz val="8"/>
      <name val="Arial"/>
      <family val="2"/>
    </font>
    <font>
      <b/>
      <sz val="8"/>
      <name val="Arial"/>
      <family val="2"/>
    </font>
    <font>
      <sz val="8"/>
      <name val="Arial"/>
      <family val="2"/>
    </font>
    <font>
      <b/>
      <i/>
      <sz val="8"/>
      <name val="Arial"/>
      <family val="2"/>
    </font>
    <font>
      <b/>
      <sz val="10"/>
      <name val="Arial"/>
      <family val="2"/>
    </font>
    <font>
      <i/>
      <sz val="8"/>
      <name val="Arial"/>
      <family val="2"/>
    </font>
    <font>
      <b/>
      <sz val="8"/>
      <color indexed="23"/>
      <name val="Arial"/>
      <family val="2"/>
    </font>
    <font>
      <sz val="8"/>
      <color indexed="23"/>
      <name val="Arial"/>
      <family val="2"/>
    </font>
    <font>
      <sz val="10"/>
      <name val="Arial"/>
      <family val="2"/>
    </font>
    <font>
      <sz val="8"/>
      <color theme="0" tint="-0.499984740745262"/>
      <name val="Arial"/>
      <family val="2"/>
    </font>
    <font>
      <b/>
      <sz val="8"/>
      <color theme="0" tint="-0.499984740745262"/>
      <name val="Arial"/>
      <family val="2"/>
    </font>
    <font>
      <b/>
      <sz val="10"/>
      <color rgb="FF000000"/>
      <name val="Arial"/>
      <family val="2"/>
    </font>
  </fonts>
  <fills count="5">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0"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74">
    <xf numFmtId="0" fontId="0" fillId="0" borderId="0" xfId="0"/>
    <xf numFmtId="165" fontId="3" fillId="0" borderId="1" xfId="0" applyNumberFormat="1" applyFont="1" applyFill="1" applyBorder="1" applyProtection="1">
      <protection locked="0"/>
    </xf>
    <xf numFmtId="0" fontId="2" fillId="2" borderId="0" xfId="0" applyFont="1" applyFill="1" applyAlignment="1" applyProtection="1"/>
    <xf numFmtId="0" fontId="3" fillId="2" borderId="0" xfId="0" applyFont="1" applyFill="1" applyProtection="1"/>
    <xf numFmtId="0" fontId="2" fillId="2" borderId="0" xfId="0" applyFont="1" applyFill="1" applyAlignment="1" applyProtection="1">
      <alignment horizontal="center"/>
    </xf>
    <xf numFmtId="0" fontId="3" fillId="2" borderId="0" xfId="0" applyFont="1" applyFill="1" applyAlignment="1" applyProtection="1">
      <alignment horizontal="center"/>
    </xf>
    <xf numFmtId="164" fontId="2" fillId="3" borderId="1" xfId="0" applyNumberFormat="1" applyFont="1" applyFill="1" applyBorder="1" applyProtection="1"/>
    <xf numFmtId="0" fontId="2" fillId="3" borderId="1" xfId="0" applyFont="1" applyFill="1" applyBorder="1" applyAlignment="1" applyProtection="1">
      <alignment horizontal="center"/>
    </xf>
    <xf numFmtId="0" fontId="5" fillId="3" borderId="0" xfId="0" applyFont="1" applyFill="1" applyAlignment="1" applyProtection="1"/>
    <xf numFmtId="0" fontId="2" fillId="3" borderId="0" xfId="0" applyFont="1" applyFill="1" applyAlignment="1" applyProtection="1"/>
    <xf numFmtId="0" fontId="5" fillId="3" borderId="0" xfId="0" applyFont="1" applyFill="1" applyAlignment="1" applyProtection="1">
      <alignment horizontal="left"/>
    </xf>
    <xf numFmtId="0" fontId="2" fillId="3" borderId="0" xfId="0" applyFont="1" applyFill="1" applyAlignment="1" applyProtection="1">
      <alignment horizontal="left"/>
    </xf>
    <xf numFmtId="0" fontId="3" fillId="3" borderId="0" xfId="0" applyFont="1" applyFill="1" applyProtection="1"/>
    <xf numFmtId="0" fontId="3" fillId="3" borderId="0" xfId="0" applyFont="1" applyFill="1" applyBorder="1" applyProtection="1"/>
    <xf numFmtId="0" fontId="2" fillId="3" borderId="0" xfId="0" applyFont="1" applyFill="1" applyProtection="1"/>
    <xf numFmtId="0" fontId="2" fillId="3" borderId="0" xfId="0" applyFont="1" applyFill="1" applyBorder="1" applyProtection="1"/>
    <xf numFmtId="0" fontId="2" fillId="3" borderId="0" xfId="0" applyFont="1" applyFill="1" applyBorder="1" applyAlignment="1" applyProtection="1">
      <alignment horizontal="right"/>
    </xf>
    <xf numFmtId="0" fontId="3" fillId="3" borderId="0" xfId="0" applyFont="1" applyFill="1" applyBorder="1" applyAlignment="1" applyProtection="1">
      <alignment horizontal="right"/>
    </xf>
    <xf numFmtId="0" fontId="2" fillId="3" borderId="0" xfId="0" applyFont="1" applyFill="1" applyBorder="1" applyAlignment="1" applyProtection="1">
      <alignment horizontal="center"/>
    </xf>
    <xf numFmtId="0" fontId="2" fillId="3" borderId="0" xfId="0" applyFont="1" applyFill="1" applyBorder="1" applyAlignment="1" applyProtection="1">
      <alignment horizontal="left"/>
    </xf>
    <xf numFmtId="0" fontId="7" fillId="3" borderId="0" xfId="0" applyFont="1" applyFill="1" applyAlignment="1" applyProtection="1">
      <alignment horizontal="center"/>
    </xf>
    <xf numFmtId="167" fontId="3" fillId="3" borderId="0" xfId="0" applyNumberFormat="1" applyFont="1" applyFill="1" applyBorder="1" applyProtection="1"/>
    <xf numFmtId="164" fontId="2" fillId="3" borderId="0" xfId="0" applyNumberFormat="1" applyFont="1" applyFill="1" applyBorder="1" applyProtection="1"/>
    <xf numFmtId="0" fontId="3" fillId="3" borderId="0" xfId="0" applyFont="1" applyFill="1" applyAlignment="1" applyProtection="1">
      <alignment horizontal="center"/>
    </xf>
    <xf numFmtId="0" fontId="3" fillId="3" borderId="0" xfId="0" applyFont="1" applyFill="1" applyBorder="1" applyAlignment="1" applyProtection="1">
      <alignment horizontal="center"/>
    </xf>
    <xf numFmtId="167" fontId="3" fillId="3" borderId="1" xfId="0" applyNumberFormat="1" applyFont="1" applyFill="1" applyBorder="1" applyProtection="1"/>
    <xf numFmtId="0" fontId="3" fillId="2" borderId="0" xfId="0" applyFont="1" applyFill="1" applyAlignment="1" applyProtection="1"/>
    <xf numFmtId="49" fontId="3" fillId="3" borderId="0" xfId="0" applyNumberFormat="1" applyFont="1" applyFill="1" applyBorder="1" applyAlignment="1" applyProtection="1"/>
    <xf numFmtId="0" fontId="3" fillId="3" borderId="0" xfId="0" applyFont="1" applyFill="1" applyBorder="1" applyAlignment="1" applyProtection="1"/>
    <xf numFmtId="166" fontId="3" fillId="3" borderId="0" xfId="0" applyNumberFormat="1" applyFont="1" applyFill="1" applyBorder="1" applyAlignment="1" applyProtection="1"/>
    <xf numFmtId="166" fontId="9" fillId="3" borderId="0" xfId="0" applyNumberFormat="1" applyFont="1" applyFill="1" applyBorder="1" applyAlignment="1" applyProtection="1"/>
    <xf numFmtId="165" fontId="3" fillId="3" borderId="1" xfId="0" applyNumberFormat="1" applyFont="1" applyFill="1" applyBorder="1" applyProtection="1"/>
    <xf numFmtId="165" fontId="3" fillId="3" borderId="0" xfId="0" applyNumberFormat="1" applyFont="1" applyFill="1" applyBorder="1" applyProtection="1"/>
    <xf numFmtId="0" fontId="2" fillId="0" borderId="1" xfId="0" applyFont="1" applyFill="1" applyBorder="1" applyAlignment="1" applyProtection="1">
      <alignment horizontal="left"/>
      <protection locked="0"/>
    </xf>
    <xf numFmtId="0" fontId="3" fillId="3" borderId="0" xfId="0" applyFont="1" applyFill="1" applyAlignment="1" applyProtection="1"/>
    <xf numFmtId="2" fontId="3" fillId="3" borderId="0" xfId="0" applyNumberFormat="1" applyFont="1" applyFill="1" applyAlignment="1" applyProtection="1"/>
    <xf numFmtId="0" fontId="6" fillId="3" borderId="0" xfId="0" applyFont="1" applyFill="1" applyAlignment="1" applyProtection="1"/>
    <xf numFmtId="167" fontId="3" fillId="3" borderId="1" xfId="0" applyNumberFormat="1" applyFont="1" applyFill="1" applyBorder="1" applyAlignment="1" applyProtection="1"/>
    <xf numFmtId="167" fontId="3" fillId="3" borderId="0" xfId="0" applyNumberFormat="1" applyFont="1" applyFill="1" applyBorder="1" applyAlignment="1" applyProtection="1"/>
    <xf numFmtId="2" fontId="3" fillId="3" borderId="0" xfId="0" applyNumberFormat="1" applyFont="1" applyFill="1" applyBorder="1" applyAlignment="1" applyProtection="1"/>
    <xf numFmtId="166" fontId="4" fillId="3" borderId="0" xfId="0" applyNumberFormat="1" applyFont="1" applyFill="1" applyBorder="1" applyAlignment="1" applyProtection="1"/>
    <xf numFmtId="0" fontId="8" fillId="3" borderId="0" xfId="0" applyFont="1" applyFill="1" applyProtection="1"/>
    <xf numFmtId="0" fontId="2" fillId="3" borderId="0" xfId="0" applyNumberFormat="1" applyFont="1" applyFill="1" applyBorder="1" applyAlignment="1" applyProtection="1">
      <alignment vertical="top" wrapText="1"/>
    </xf>
    <xf numFmtId="0" fontId="5" fillId="3" borderId="0" xfId="0" applyFont="1" applyFill="1" applyAlignment="1" applyProtection="1">
      <alignment horizontal="right"/>
    </xf>
    <xf numFmtId="0" fontId="3" fillId="4" borderId="0" xfId="0" applyFont="1" applyFill="1" applyBorder="1" applyAlignment="1" applyProtection="1">
      <alignment horizontal="center"/>
    </xf>
    <xf numFmtId="0" fontId="3" fillId="4" borderId="0" xfId="0" applyFont="1" applyFill="1" applyAlignment="1" applyProtection="1">
      <alignment horizontal="center"/>
    </xf>
    <xf numFmtId="0" fontId="3" fillId="4" borderId="0" xfId="0" applyFont="1" applyFill="1" applyProtection="1"/>
    <xf numFmtId="0" fontId="7" fillId="4" borderId="0" xfId="0" applyFont="1" applyFill="1" applyAlignment="1" applyProtection="1">
      <alignment horizontal="center"/>
    </xf>
    <xf numFmtId="0" fontId="2" fillId="4" borderId="0" xfId="0" applyFont="1" applyFill="1" applyAlignment="1" applyProtection="1">
      <alignment horizontal="center"/>
    </xf>
    <xf numFmtId="2" fontId="8" fillId="4" borderId="0" xfId="0" applyNumberFormat="1" applyFont="1" applyFill="1" applyProtection="1"/>
    <xf numFmtId="0" fontId="8" fillId="4" borderId="0" xfId="0" applyFont="1" applyFill="1" applyProtection="1"/>
    <xf numFmtId="0" fontId="3" fillId="4" borderId="0" xfId="0" applyFont="1" applyFill="1" applyAlignment="1" applyProtection="1"/>
    <xf numFmtId="0" fontId="1" fillId="3" borderId="0" xfId="0" applyFont="1" applyFill="1" applyAlignment="1" applyProtection="1">
      <alignment horizontal="right"/>
    </xf>
    <xf numFmtId="0" fontId="10" fillId="4" borderId="0" xfId="0" applyNumberFormat="1" applyFont="1" applyFill="1" applyBorder="1" applyAlignment="1" applyProtection="1">
      <alignment horizontal="center"/>
    </xf>
    <xf numFmtId="0" fontId="10" fillId="4" borderId="0" xfId="0" applyNumberFormat="1" applyFont="1" applyFill="1" applyAlignment="1" applyProtection="1">
      <alignment horizontal="center"/>
    </xf>
    <xf numFmtId="0" fontId="10" fillId="4" borderId="0" xfId="0" applyFont="1" applyFill="1" applyBorder="1" applyAlignment="1" applyProtection="1">
      <alignment horizontal="center"/>
    </xf>
    <xf numFmtId="0" fontId="11" fillId="4" borderId="0" xfId="0" applyFont="1" applyFill="1" applyAlignment="1" applyProtection="1">
      <alignment horizontal="center"/>
    </xf>
    <xf numFmtId="14" fontId="10" fillId="4" borderId="0" xfId="0" applyNumberFormat="1" applyFont="1" applyFill="1" applyProtection="1"/>
    <xf numFmtId="14" fontId="3" fillId="4" borderId="0" xfId="0" applyNumberFormat="1" applyFont="1" applyFill="1" applyProtection="1"/>
    <xf numFmtId="0" fontId="2" fillId="3" borderId="0" xfId="0" applyNumberFormat="1" applyFont="1" applyFill="1" applyBorder="1" applyAlignment="1" applyProtection="1">
      <alignment horizontal="left" vertical="top" wrapText="1"/>
    </xf>
    <xf numFmtId="0" fontId="3" fillId="0" borderId="2" xfId="0" applyFont="1" applyFill="1" applyBorder="1" applyAlignment="1" applyProtection="1">
      <alignment horizontal="left"/>
      <protection locked="0"/>
    </xf>
    <xf numFmtId="0" fontId="3" fillId="3" borderId="2" xfId="0" applyFont="1" applyFill="1" applyBorder="1" applyAlignment="1" applyProtection="1">
      <alignment horizontal="left"/>
      <protection locked="0"/>
    </xf>
    <xf numFmtId="0" fontId="3" fillId="3" borderId="2" xfId="0" applyFont="1" applyFill="1" applyBorder="1" applyAlignment="1" applyProtection="1">
      <alignment horizontal="left"/>
    </xf>
    <xf numFmtId="14" fontId="1" fillId="0" borderId="2" xfId="0" applyNumberFormat="1" applyFont="1" applyFill="1" applyBorder="1" applyAlignment="1" applyProtection="1">
      <alignment horizontal="left"/>
      <protection locked="0"/>
    </xf>
    <xf numFmtId="14" fontId="3" fillId="3" borderId="2" xfId="0" applyNumberFormat="1" applyFont="1" applyFill="1" applyBorder="1" applyAlignment="1" applyProtection="1">
      <alignment horizontal="left"/>
      <protection locked="0"/>
    </xf>
    <xf numFmtId="0" fontId="2" fillId="3" borderId="0" xfId="0" applyFont="1" applyFill="1" applyBorder="1" applyAlignment="1" applyProtection="1">
      <alignment horizontal="right"/>
    </xf>
    <xf numFmtId="49" fontId="3" fillId="0" borderId="2" xfId="0" applyNumberFormat="1" applyFont="1" applyFill="1" applyBorder="1" applyAlignment="1" applyProtection="1">
      <alignment horizontal="left"/>
      <protection locked="0"/>
    </xf>
    <xf numFmtId="49" fontId="3" fillId="3" borderId="2" xfId="0" applyNumberFormat="1" applyFont="1" applyFill="1" applyBorder="1" applyAlignment="1" applyProtection="1">
      <alignment horizontal="left"/>
      <protection locked="0"/>
    </xf>
    <xf numFmtId="49" fontId="3" fillId="0" borderId="2" xfId="0" quotePrefix="1" applyNumberFormat="1" applyFont="1" applyFill="1" applyBorder="1" applyAlignment="1" applyProtection="1">
      <alignment horizontal="left"/>
      <protection locked="0"/>
    </xf>
    <xf numFmtId="167" fontId="3" fillId="0" borderId="2" xfId="0" applyNumberFormat="1" applyFont="1" applyFill="1" applyBorder="1" applyAlignment="1" applyProtection="1">
      <alignment horizontal="left"/>
      <protection locked="0"/>
    </xf>
    <xf numFmtId="167" fontId="3" fillId="3" borderId="2" xfId="0" applyNumberFormat="1" applyFont="1" applyFill="1" applyBorder="1" applyAlignment="1" applyProtection="1">
      <alignment horizontal="left"/>
      <protection locked="0"/>
    </xf>
    <xf numFmtId="0" fontId="5" fillId="3" borderId="0" xfId="0" applyFont="1" applyFill="1" applyBorder="1" applyAlignment="1" applyProtection="1">
      <alignment horizontal="center"/>
    </xf>
    <xf numFmtId="166" fontId="2" fillId="3" borderId="0" xfId="0" applyNumberFormat="1" applyFont="1" applyFill="1" applyBorder="1" applyAlignment="1" applyProtection="1">
      <alignment horizontal="right"/>
    </xf>
    <xf numFmtId="0" fontId="2" fillId="3" borderId="0" xfId="0" applyFont="1" applyFill="1" applyAlignment="1" applyProtection="1">
      <alignment horizontal="righ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46</xdr:row>
          <xdr:rowOff>0</xdr:rowOff>
        </xdr:from>
        <xdr:to>
          <xdr:col>9</xdr:col>
          <xdr:colOff>285750</xdr:colOff>
          <xdr:row>47</xdr:row>
          <xdr:rowOff>47625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 Time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5</xdr:row>
          <xdr:rowOff>114300</xdr:rowOff>
        </xdr:from>
        <xdr:to>
          <xdr:col>6</xdr:col>
          <xdr:colOff>9525</xdr:colOff>
          <xdr:row>7</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 Time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A55"/>
  <sheetViews>
    <sheetView tabSelected="1" workbookViewId="0">
      <selection activeCell="K1" sqref="K1:L1"/>
    </sheetView>
  </sheetViews>
  <sheetFormatPr defaultRowHeight="11.25" x14ac:dyDescent="0.2"/>
  <cols>
    <col min="1" max="1" width="6.5703125" style="5" customWidth="1"/>
    <col min="2" max="6" width="9.7109375" style="3" customWidth="1"/>
    <col min="7" max="13" width="6.7109375" style="3" customWidth="1"/>
    <col min="14" max="14" width="2.140625" style="3" customWidth="1"/>
    <col min="15" max="16384" width="9.140625" style="3"/>
  </cols>
  <sheetData>
    <row r="1" spans="1:27" s="2" customFormat="1" ht="11.25" customHeight="1" x14ac:dyDescent="0.2">
      <c r="A1" s="8" t="s">
        <v>21</v>
      </c>
      <c r="B1" s="9"/>
      <c r="C1" s="9"/>
      <c r="D1" s="9"/>
      <c r="E1" s="9"/>
      <c r="F1" s="9"/>
      <c r="G1" s="9"/>
      <c r="H1" s="9"/>
      <c r="I1" s="10"/>
      <c r="J1" s="43" t="s">
        <v>3</v>
      </c>
      <c r="K1" s="63"/>
      <c r="L1" s="64"/>
      <c r="M1" s="52" t="s">
        <v>41</v>
      </c>
      <c r="N1" s="24"/>
      <c r="O1" s="53"/>
      <c r="P1" s="54"/>
      <c r="Q1" s="55"/>
      <c r="R1" s="44"/>
      <c r="S1" s="44"/>
      <c r="T1" s="45"/>
      <c r="U1" s="44"/>
      <c r="V1" s="44"/>
      <c r="W1" s="44"/>
      <c r="X1" s="44"/>
      <c r="Y1" s="44"/>
      <c r="Z1" s="45"/>
      <c r="AA1" s="5"/>
    </row>
    <row r="2" spans="1:27" ht="11.25" customHeight="1" x14ac:dyDescent="0.2">
      <c r="A2" s="11"/>
      <c r="B2" s="12"/>
      <c r="C2" s="13"/>
      <c r="D2" s="13"/>
      <c r="E2" s="12"/>
      <c r="F2" s="14"/>
      <c r="G2" s="12"/>
      <c r="H2" s="12"/>
      <c r="I2" s="13"/>
      <c r="J2" s="12"/>
      <c r="K2" s="13"/>
      <c r="L2" s="13"/>
      <c r="M2" s="13"/>
      <c r="N2" s="12"/>
      <c r="O2" s="46"/>
      <c r="P2" s="46"/>
      <c r="Q2" s="44"/>
      <c r="R2" s="46"/>
      <c r="S2" s="46"/>
      <c r="T2" s="46"/>
      <c r="U2" s="46"/>
      <c r="V2" s="46"/>
      <c r="W2" s="44"/>
      <c r="X2" s="46"/>
      <c r="Y2" s="46"/>
      <c r="Z2" s="46"/>
    </row>
    <row r="3" spans="1:27" ht="11.25" customHeight="1" x14ac:dyDescent="0.2">
      <c r="A3" s="16" t="s">
        <v>20</v>
      </c>
      <c r="B3" s="66"/>
      <c r="C3" s="67"/>
      <c r="D3" s="28"/>
      <c r="E3" s="27"/>
      <c r="F3" s="65" t="s">
        <v>23</v>
      </c>
      <c r="G3" s="65"/>
      <c r="H3" s="65"/>
      <c r="I3" s="60"/>
      <c r="J3" s="61"/>
      <c r="K3" s="61"/>
      <c r="L3" s="61"/>
      <c r="M3" s="12"/>
      <c r="N3" s="12"/>
      <c r="O3" s="46"/>
      <c r="P3" s="46"/>
      <c r="Q3" s="45"/>
      <c r="R3" s="46"/>
      <c r="S3" s="46"/>
      <c r="T3" s="46"/>
      <c r="U3" s="46"/>
      <c r="V3" s="46"/>
      <c r="W3" s="45"/>
      <c r="X3" s="46"/>
      <c r="Y3" s="46"/>
      <c r="Z3" s="46"/>
    </row>
    <row r="4" spans="1:27" ht="11.25" customHeight="1" x14ac:dyDescent="0.2">
      <c r="A4" s="15"/>
      <c r="B4" s="17"/>
      <c r="C4" s="13"/>
      <c r="D4" s="13"/>
      <c r="E4" s="13"/>
      <c r="F4" s="15"/>
      <c r="G4" s="12"/>
      <c r="H4" s="12"/>
      <c r="I4" s="18"/>
      <c r="J4" s="13"/>
      <c r="K4" s="12"/>
      <c r="L4" s="13"/>
      <c r="M4" s="12"/>
      <c r="N4" s="12"/>
      <c r="O4" s="46"/>
      <c r="P4" s="46"/>
      <c r="Q4" s="44"/>
      <c r="R4" s="46"/>
      <c r="S4" s="46"/>
      <c r="T4" s="46"/>
      <c r="U4" s="46"/>
      <c r="V4" s="46"/>
      <c r="W4" s="44"/>
      <c r="X4" s="46"/>
      <c r="Y4" s="46"/>
      <c r="Z4" s="46"/>
    </row>
    <row r="5" spans="1:27" ht="11.25" customHeight="1" x14ac:dyDescent="0.2">
      <c r="A5" s="16" t="s">
        <v>19</v>
      </c>
      <c r="B5" s="60"/>
      <c r="C5" s="61"/>
      <c r="D5" s="61"/>
      <c r="E5" s="28"/>
      <c r="F5" s="72" t="s">
        <v>22</v>
      </c>
      <c r="G5" s="72"/>
      <c r="H5" s="72"/>
      <c r="I5" s="68"/>
      <c r="J5" s="67"/>
      <c r="K5" s="67"/>
      <c r="L5" s="67"/>
      <c r="M5" s="12"/>
      <c r="N5" s="12"/>
      <c r="O5" s="46"/>
      <c r="P5" s="46"/>
      <c r="Q5" s="44"/>
      <c r="R5" s="46"/>
      <c r="S5" s="46"/>
      <c r="T5" s="46"/>
      <c r="U5" s="46"/>
      <c r="V5" s="46"/>
      <c r="W5" s="44"/>
      <c r="X5" s="46"/>
      <c r="Y5" s="46"/>
      <c r="Z5" s="46"/>
    </row>
    <row r="6" spans="1:27" ht="11.25" customHeight="1" x14ac:dyDescent="0.2">
      <c r="A6" s="19"/>
      <c r="B6" s="13"/>
      <c r="C6" s="13"/>
      <c r="D6" s="13"/>
      <c r="E6" s="13"/>
      <c r="F6" s="15"/>
      <c r="G6" s="12"/>
      <c r="H6" s="12"/>
      <c r="I6" s="18"/>
      <c r="J6" s="13"/>
      <c r="K6" s="12"/>
      <c r="L6" s="13"/>
      <c r="M6" s="12"/>
      <c r="N6" s="12"/>
      <c r="O6" s="46"/>
      <c r="P6" s="46"/>
      <c r="Q6" s="44"/>
      <c r="R6" s="46"/>
      <c r="S6" s="46"/>
      <c r="T6" s="46"/>
      <c r="U6" s="46"/>
      <c r="V6" s="46"/>
      <c r="W6" s="44"/>
      <c r="X6" s="46"/>
      <c r="Y6" s="46"/>
      <c r="Z6" s="46"/>
    </row>
    <row r="7" spans="1:27" ht="11.25" customHeight="1" x14ac:dyDescent="0.2">
      <c r="A7" s="24"/>
      <c r="B7" s="13"/>
      <c r="C7" s="71"/>
      <c r="D7" s="71"/>
      <c r="E7" s="71"/>
      <c r="F7" s="73" t="s">
        <v>24</v>
      </c>
      <c r="G7" s="73"/>
      <c r="H7" s="73"/>
      <c r="I7" s="69"/>
      <c r="J7" s="70"/>
      <c r="K7" s="28"/>
      <c r="L7" s="28"/>
      <c r="M7" s="12"/>
      <c r="N7" s="12"/>
      <c r="O7" s="46"/>
      <c r="P7" s="46"/>
      <c r="Q7" s="44"/>
      <c r="R7" s="46"/>
      <c r="S7" s="46"/>
      <c r="T7" s="46"/>
      <c r="U7" s="46"/>
      <c r="V7" s="46"/>
      <c r="W7" s="44"/>
      <c r="X7" s="46"/>
      <c r="Y7" s="46"/>
      <c r="Z7" s="46"/>
    </row>
    <row r="8" spans="1:27" ht="11.25" customHeight="1" x14ac:dyDescent="0.2">
      <c r="A8" s="29"/>
      <c r="B8" s="30"/>
      <c r="C8" s="24"/>
      <c r="D8" s="21"/>
      <c r="E8" s="29"/>
      <c r="F8" s="30"/>
      <c r="G8" s="24"/>
      <c r="H8" s="21"/>
      <c r="I8" s="18"/>
      <c r="J8" s="13"/>
      <c r="K8" s="12"/>
      <c r="L8" s="13"/>
      <c r="M8" s="12"/>
      <c r="N8" s="12"/>
      <c r="O8" s="46"/>
      <c r="P8" s="46"/>
      <c r="Q8" s="45"/>
      <c r="R8" s="46"/>
      <c r="S8" s="46"/>
      <c r="T8" s="46"/>
      <c r="U8" s="46"/>
      <c r="V8" s="44"/>
      <c r="W8" s="45"/>
      <c r="X8" s="46"/>
      <c r="Y8" s="46"/>
      <c r="Z8" s="46"/>
    </row>
    <row r="9" spans="1:27" ht="11.25" customHeight="1" x14ac:dyDescent="0.2">
      <c r="A9" s="40" t="s">
        <v>32</v>
      </c>
      <c r="B9" s="30"/>
      <c r="C9" s="24"/>
      <c r="D9" s="21"/>
      <c r="E9" s="29"/>
      <c r="F9" s="30"/>
      <c r="G9" s="24"/>
      <c r="H9" s="42"/>
      <c r="I9" s="42"/>
      <c r="J9" s="42"/>
      <c r="K9" s="42"/>
      <c r="L9" s="42"/>
      <c r="M9" s="42"/>
      <c r="N9" s="12"/>
      <c r="O9" s="46"/>
      <c r="P9" s="46"/>
      <c r="Q9" s="45"/>
      <c r="R9" s="46"/>
      <c r="S9" s="46"/>
      <c r="T9" s="46"/>
      <c r="U9" s="46"/>
      <c r="V9" s="44"/>
      <c r="W9" s="45"/>
      <c r="X9" s="46"/>
      <c r="Y9" s="46"/>
      <c r="Z9" s="46"/>
    </row>
    <row r="10" spans="1:27" s="4" customFormat="1" ht="15" customHeight="1" x14ac:dyDescent="0.2">
      <c r="A10" s="7" t="s">
        <v>30</v>
      </c>
      <c r="B10" s="7" t="s">
        <v>0</v>
      </c>
      <c r="C10" s="7" t="s">
        <v>1</v>
      </c>
      <c r="D10" s="7" t="s">
        <v>2</v>
      </c>
      <c r="E10" s="7" t="s">
        <v>25</v>
      </c>
      <c r="F10" s="7" t="s">
        <v>26</v>
      </c>
      <c r="G10" s="18"/>
      <c r="H10" s="59" t="s">
        <v>33</v>
      </c>
      <c r="I10" s="59"/>
      <c r="J10" s="59"/>
      <c r="K10" s="59"/>
      <c r="L10" s="59"/>
      <c r="M10" s="59"/>
      <c r="N10" s="20"/>
      <c r="O10" s="47" t="s">
        <v>17</v>
      </c>
      <c r="P10" s="47" t="s">
        <v>28</v>
      </c>
      <c r="Q10" s="47" t="s">
        <v>29</v>
      </c>
      <c r="R10" s="48"/>
      <c r="S10" s="48"/>
      <c r="T10" s="47" t="s">
        <v>38</v>
      </c>
      <c r="U10" s="47" t="s">
        <v>39</v>
      </c>
      <c r="V10" s="48"/>
      <c r="W10" s="48"/>
      <c r="X10" s="48"/>
      <c r="Y10" s="56" t="s">
        <v>40</v>
      </c>
      <c r="Z10" s="48"/>
    </row>
    <row r="11" spans="1:27" ht="15" customHeight="1" x14ac:dyDescent="0.2">
      <c r="A11" s="33"/>
      <c r="B11" s="6" t="str">
        <f>IF($K$1="","",IF(A11="Wed",$K$1-13,IF(A11="Thurs",$K$1-12,IF(A11="Fri",$K$1-11,IF(A11="Sat",$K$1-10,IF(A11="Sun",$K$1-9,IF(A11="Mon",$K$1-8,IF(A11="Tues",$K$1-7,""))))))))</f>
        <v/>
      </c>
      <c r="C11" s="1"/>
      <c r="D11" s="1"/>
      <c r="E11" s="25">
        <f>O11</f>
        <v>0</v>
      </c>
      <c r="F11" s="31"/>
      <c r="G11" s="21"/>
      <c r="H11" s="59"/>
      <c r="I11" s="59"/>
      <c r="J11" s="59"/>
      <c r="K11" s="59"/>
      <c r="L11" s="59"/>
      <c r="M11" s="59"/>
      <c r="N11" s="12"/>
      <c r="O11" s="49">
        <f>ROUND(IF(T11=0,0,U11+MINUTE(D11)/60-HOUR(C11)-MINUTE(C11)/60), 2)</f>
        <v>0</v>
      </c>
      <c r="P11" s="49">
        <f>O11</f>
        <v>0</v>
      </c>
      <c r="Q11" s="50"/>
      <c r="R11" s="46"/>
      <c r="S11" s="46"/>
      <c r="T11" s="50">
        <f>IF(C11&lt;&gt;"", IF(D11 &lt;&gt; "", 1, 0), 0)</f>
        <v>0</v>
      </c>
      <c r="U11" s="50">
        <f>IF(T11=1,IF(D11="",0,IF(HOUR(C11)&gt;HOUR(D11),HOUR(D11)+24,HOUR(D11))),0)</f>
        <v>0</v>
      </c>
      <c r="V11" s="46"/>
      <c r="W11" s="46"/>
      <c r="X11" s="50" t="s">
        <v>12</v>
      </c>
      <c r="Y11" s="57">
        <f ca="1">DATEVALUE(TEXT(TODAY(), "mm/dd/yyyy")) + 14 - MOD((DATEVALUE(TEXT(TODAY(), "mm/dd/yyyy")) - DATEVALUE("1/12/2010")), 14)</f>
        <v>42332</v>
      </c>
      <c r="Z11" s="46"/>
    </row>
    <row r="12" spans="1:27" ht="15" customHeight="1" x14ac:dyDescent="0.2">
      <c r="A12" s="33"/>
      <c r="B12" s="6" t="str">
        <f t="shared" ref="B12:B25" si="0">IF($K$1="","",IF(A12="Wed",$K$1-13,IF(A12="Thurs",$K$1-12,IF(A12="Fri",$K$1-11,IF(A12="Sat",$K$1-10,IF(A12="Sun",$K$1-9,IF(A12="Mon",$K$1-8,IF(A12="Tues",$K$1-7,""))))))))</f>
        <v/>
      </c>
      <c r="C12" s="1"/>
      <c r="D12" s="1"/>
      <c r="E12" s="25">
        <f>IF(O12=0,0,O12-F12)</f>
        <v>0</v>
      </c>
      <c r="F12" s="25">
        <f>IF(O12=0,0,IF(P12&gt;40,P12-40-Q11,0))</f>
        <v>0</v>
      </c>
      <c r="G12" s="21"/>
      <c r="H12" s="59"/>
      <c r="I12" s="59"/>
      <c r="J12" s="59"/>
      <c r="K12" s="59"/>
      <c r="L12" s="59"/>
      <c r="M12" s="59"/>
      <c r="N12" s="12"/>
      <c r="O12" s="49">
        <f>ROUND(IF(T12=0,0,U12+MINUTE(D12)/60-HOUR(C12)-MINUTE(C12)/60), 2)</f>
        <v>0</v>
      </c>
      <c r="P12" s="49">
        <f>P11+O12</f>
        <v>0</v>
      </c>
      <c r="Q12" s="49">
        <f t="shared" ref="Q12:Q25" si="1">Q11+IF(P12&gt;40,P12-40-Q11,0)</f>
        <v>0</v>
      </c>
      <c r="R12" s="46"/>
      <c r="S12" s="46"/>
      <c r="T12" s="50">
        <f t="shared" ref="T12:T25" si="2">IF(C12&lt;&gt;"", IF(D12 &lt;&gt; "", 1, 0), 0)</f>
        <v>0</v>
      </c>
      <c r="U12" s="50">
        <f t="shared" ref="U12:U25" si="3">IF(T12=1,IF(D12="",0,IF(HOUR(C12)&gt;HOUR(D12),HOUR(D12)+24,HOUR(D12))),0)</f>
        <v>0</v>
      </c>
      <c r="V12" s="46"/>
      <c r="W12" s="46"/>
      <c r="X12" s="50" t="s">
        <v>13</v>
      </c>
      <c r="Y12" s="57">
        <f ca="1">Y11-14</f>
        <v>42318</v>
      </c>
      <c r="Z12" s="46"/>
    </row>
    <row r="13" spans="1:27" ht="15" customHeight="1" x14ac:dyDescent="0.2">
      <c r="A13" s="33"/>
      <c r="B13" s="6" t="str">
        <f t="shared" si="0"/>
        <v/>
      </c>
      <c r="C13" s="1"/>
      <c r="D13" s="1"/>
      <c r="E13" s="25">
        <f t="shared" ref="E13:E25" si="4">IF(O13=0,0,O13-F13)</f>
        <v>0</v>
      </c>
      <c r="F13" s="25">
        <f t="shared" ref="F13:F25" si="5">IF(O13=0,0,IF(P13&gt;40,P13-40-Q12,0))</f>
        <v>0</v>
      </c>
      <c r="G13" s="21"/>
      <c r="H13" s="59"/>
      <c r="I13" s="59"/>
      <c r="J13" s="59"/>
      <c r="K13" s="59"/>
      <c r="L13" s="59"/>
      <c r="M13" s="59"/>
      <c r="N13" s="12"/>
      <c r="O13" s="49">
        <f t="shared" ref="O13:O25" si="6">ROUND(IF(T13=0,0,U13+MINUTE(D13)/60-HOUR(C13)-MINUTE(C13)/60), 2)</f>
        <v>0</v>
      </c>
      <c r="P13" s="49">
        <f t="shared" ref="P13:P25" si="7">P12+O13</f>
        <v>0</v>
      </c>
      <c r="Q13" s="49">
        <f t="shared" si="1"/>
        <v>0</v>
      </c>
      <c r="R13" s="46"/>
      <c r="S13" s="46"/>
      <c r="T13" s="50">
        <f t="shared" si="2"/>
        <v>0</v>
      </c>
      <c r="U13" s="50">
        <f t="shared" si="3"/>
        <v>0</v>
      </c>
      <c r="V13" s="46"/>
      <c r="W13" s="46"/>
      <c r="X13" s="50" t="s">
        <v>7</v>
      </c>
      <c r="Y13" s="57">
        <f t="shared" ref="Y13:Y37" ca="1" si="8">Y12-14</f>
        <v>42304</v>
      </c>
      <c r="Z13" s="46"/>
    </row>
    <row r="14" spans="1:27" ht="15" customHeight="1" x14ac:dyDescent="0.2">
      <c r="A14" s="33"/>
      <c r="B14" s="6" t="str">
        <f t="shared" si="0"/>
        <v/>
      </c>
      <c r="C14" s="1"/>
      <c r="D14" s="1"/>
      <c r="E14" s="25">
        <f t="shared" si="4"/>
        <v>0</v>
      </c>
      <c r="F14" s="25">
        <f t="shared" si="5"/>
        <v>0</v>
      </c>
      <c r="G14" s="21"/>
      <c r="H14" s="59"/>
      <c r="I14" s="59"/>
      <c r="J14" s="59"/>
      <c r="K14" s="59"/>
      <c r="L14" s="59"/>
      <c r="M14" s="59"/>
      <c r="N14" s="12"/>
      <c r="O14" s="49">
        <f t="shared" si="6"/>
        <v>0</v>
      </c>
      <c r="P14" s="49">
        <f t="shared" si="7"/>
        <v>0</v>
      </c>
      <c r="Q14" s="49">
        <f t="shared" si="1"/>
        <v>0</v>
      </c>
      <c r="R14" s="46"/>
      <c r="S14" s="46"/>
      <c r="T14" s="50">
        <f t="shared" si="2"/>
        <v>0</v>
      </c>
      <c r="U14" s="50">
        <f t="shared" si="3"/>
        <v>0</v>
      </c>
      <c r="V14" s="46"/>
      <c r="W14" s="46"/>
      <c r="X14" s="50" t="s">
        <v>8</v>
      </c>
      <c r="Y14" s="57">
        <f t="shared" ca="1" si="8"/>
        <v>42290</v>
      </c>
      <c r="Z14" s="46"/>
    </row>
    <row r="15" spans="1:27" ht="15" customHeight="1" x14ac:dyDescent="0.2">
      <c r="A15" s="33"/>
      <c r="B15" s="6" t="str">
        <f t="shared" si="0"/>
        <v/>
      </c>
      <c r="C15" s="1"/>
      <c r="D15" s="1"/>
      <c r="E15" s="25">
        <f t="shared" si="4"/>
        <v>0</v>
      </c>
      <c r="F15" s="25">
        <f t="shared" si="5"/>
        <v>0</v>
      </c>
      <c r="G15" s="21"/>
      <c r="H15" s="59"/>
      <c r="I15" s="59"/>
      <c r="J15" s="59"/>
      <c r="K15" s="59"/>
      <c r="L15" s="59"/>
      <c r="M15" s="59"/>
      <c r="N15" s="12"/>
      <c r="O15" s="49">
        <f t="shared" si="6"/>
        <v>0</v>
      </c>
      <c r="P15" s="49">
        <f t="shared" si="7"/>
        <v>0</v>
      </c>
      <c r="Q15" s="49">
        <f t="shared" si="1"/>
        <v>0</v>
      </c>
      <c r="R15" s="46"/>
      <c r="S15" s="46"/>
      <c r="T15" s="50">
        <f t="shared" si="2"/>
        <v>0</v>
      </c>
      <c r="U15" s="50">
        <f t="shared" si="3"/>
        <v>0</v>
      </c>
      <c r="V15" s="46"/>
      <c r="W15" s="46"/>
      <c r="X15" s="50" t="s">
        <v>9</v>
      </c>
      <c r="Y15" s="57">
        <f t="shared" ca="1" si="8"/>
        <v>42276</v>
      </c>
      <c r="Z15" s="46"/>
    </row>
    <row r="16" spans="1:27" ht="15" customHeight="1" x14ac:dyDescent="0.2">
      <c r="A16" s="33"/>
      <c r="B16" s="6" t="str">
        <f t="shared" si="0"/>
        <v/>
      </c>
      <c r="C16" s="1"/>
      <c r="D16" s="1"/>
      <c r="E16" s="25">
        <f t="shared" si="4"/>
        <v>0</v>
      </c>
      <c r="F16" s="25">
        <f t="shared" si="5"/>
        <v>0</v>
      </c>
      <c r="G16" s="21"/>
      <c r="H16" s="59"/>
      <c r="I16" s="59"/>
      <c r="J16" s="59"/>
      <c r="K16" s="59"/>
      <c r="L16" s="59"/>
      <c r="M16" s="59"/>
      <c r="N16" s="12"/>
      <c r="O16" s="49">
        <f t="shared" si="6"/>
        <v>0</v>
      </c>
      <c r="P16" s="49">
        <f t="shared" si="7"/>
        <v>0</v>
      </c>
      <c r="Q16" s="49">
        <f t="shared" si="1"/>
        <v>0</v>
      </c>
      <c r="R16" s="46"/>
      <c r="S16" s="46"/>
      <c r="T16" s="50">
        <f t="shared" si="2"/>
        <v>0</v>
      </c>
      <c r="U16" s="50">
        <f t="shared" si="3"/>
        <v>0</v>
      </c>
      <c r="V16" s="46"/>
      <c r="W16" s="46"/>
      <c r="X16" s="50" t="s">
        <v>10</v>
      </c>
      <c r="Y16" s="57">
        <f t="shared" ca="1" si="8"/>
        <v>42262</v>
      </c>
      <c r="Z16" s="46"/>
    </row>
    <row r="17" spans="1:26" ht="15" customHeight="1" x14ac:dyDescent="0.2">
      <c r="A17" s="33"/>
      <c r="B17" s="6" t="str">
        <f t="shared" si="0"/>
        <v/>
      </c>
      <c r="C17" s="1"/>
      <c r="D17" s="1"/>
      <c r="E17" s="25">
        <f t="shared" si="4"/>
        <v>0</v>
      </c>
      <c r="F17" s="25">
        <f t="shared" si="5"/>
        <v>0</v>
      </c>
      <c r="G17" s="21"/>
      <c r="H17" s="59" t="s">
        <v>34</v>
      </c>
      <c r="I17" s="59"/>
      <c r="J17" s="59"/>
      <c r="K17" s="59"/>
      <c r="L17" s="59"/>
      <c r="M17" s="59"/>
      <c r="N17" s="12"/>
      <c r="O17" s="49">
        <f t="shared" si="6"/>
        <v>0</v>
      </c>
      <c r="P17" s="49">
        <f t="shared" si="7"/>
        <v>0</v>
      </c>
      <c r="Q17" s="49">
        <f t="shared" si="1"/>
        <v>0</v>
      </c>
      <c r="R17" s="46"/>
      <c r="S17" s="46"/>
      <c r="T17" s="50">
        <f t="shared" si="2"/>
        <v>0</v>
      </c>
      <c r="U17" s="50">
        <f t="shared" si="3"/>
        <v>0</v>
      </c>
      <c r="V17" s="46"/>
      <c r="W17" s="46"/>
      <c r="X17" s="50" t="s">
        <v>11</v>
      </c>
      <c r="Y17" s="57">
        <f t="shared" ca="1" si="8"/>
        <v>42248</v>
      </c>
      <c r="Z17" s="46"/>
    </row>
    <row r="18" spans="1:26" ht="15" customHeight="1" x14ac:dyDescent="0.2">
      <c r="A18" s="33"/>
      <c r="B18" s="6" t="str">
        <f t="shared" si="0"/>
        <v/>
      </c>
      <c r="C18" s="1"/>
      <c r="D18" s="1"/>
      <c r="E18" s="25">
        <f t="shared" si="4"/>
        <v>0</v>
      </c>
      <c r="F18" s="25">
        <f t="shared" si="5"/>
        <v>0</v>
      </c>
      <c r="G18" s="21"/>
      <c r="H18" s="59"/>
      <c r="I18" s="59"/>
      <c r="J18" s="59"/>
      <c r="K18" s="59"/>
      <c r="L18" s="59"/>
      <c r="M18" s="59"/>
      <c r="N18" s="12"/>
      <c r="O18" s="49">
        <f t="shared" si="6"/>
        <v>0</v>
      </c>
      <c r="P18" s="49">
        <f t="shared" si="7"/>
        <v>0</v>
      </c>
      <c r="Q18" s="49">
        <f t="shared" si="1"/>
        <v>0</v>
      </c>
      <c r="R18" s="46"/>
      <c r="S18" s="46"/>
      <c r="T18" s="50">
        <f t="shared" si="2"/>
        <v>0</v>
      </c>
      <c r="U18" s="50">
        <f t="shared" si="3"/>
        <v>0</v>
      </c>
      <c r="V18" s="46"/>
      <c r="W18" s="46"/>
      <c r="X18" s="46"/>
      <c r="Y18" s="57">
        <f t="shared" ca="1" si="8"/>
        <v>42234</v>
      </c>
      <c r="Z18" s="46"/>
    </row>
    <row r="19" spans="1:26" ht="15" customHeight="1" x14ac:dyDescent="0.2">
      <c r="A19" s="33"/>
      <c r="B19" s="6" t="str">
        <f t="shared" si="0"/>
        <v/>
      </c>
      <c r="C19" s="1"/>
      <c r="D19" s="1"/>
      <c r="E19" s="25">
        <f t="shared" si="4"/>
        <v>0</v>
      </c>
      <c r="F19" s="25">
        <f t="shared" si="5"/>
        <v>0</v>
      </c>
      <c r="G19" s="21"/>
      <c r="H19" s="59"/>
      <c r="I19" s="59"/>
      <c r="J19" s="59"/>
      <c r="K19" s="59"/>
      <c r="L19" s="59"/>
      <c r="M19" s="59"/>
      <c r="N19" s="12"/>
      <c r="O19" s="49">
        <f t="shared" si="6"/>
        <v>0</v>
      </c>
      <c r="P19" s="49">
        <f t="shared" si="7"/>
        <v>0</v>
      </c>
      <c r="Q19" s="49">
        <f t="shared" si="1"/>
        <v>0</v>
      </c>
      <c r="R19" s="46"/>
      <c r="S19" s="46"/>
      <c r="T19" s="50">
        <f t="shared" si="2"/>
        <v>0</v>
      </c>
      <c r="U19" s="50">
        <f t="shared" si="3"/>
        <v>0</v>
      </c>
      <c r="V19" s="46"/>
      <c r="W19" s="46"/>
      <c r="X19" s="46"/>
      <c r="Y19" s="57">
        <f t="shared" ca="1" si="8"/>
        <v>42220</v>
      </c>
      <c r="Z19" s="46"/>
    </row>
    <row r="20" spans="1:26" ht="15" customHeight="1" x14ac:dyDescent="0.2">
      <c r="A20" s="33"/>
      <c r="B20" s="6" t="str">
        <f t="shared" si="0"/>
        <v/>
      </c>
      <c r="C20" s="1"/>
      <c r="D20" s="1"/>
      <c r="E20" s="25">
        <f t="shared" si="4"/>
        <v>0</v>
      </c>
      <c r="F20" s="25">
        <f t="shared" si="5"/>
        <v>0</v>
      </c>
      <c r="G20" s="21"/>
      <c r="H20" s="59"/>
      <c r="I20" s="59"/>
      <c r="J20" s="59"/>
      <c r="K20" s="59"/>
      <c r="L20" s="59"/>
      <c r="M20" s="59"/>
      <c r="N20" s="12"/>
      <c r="O20" s="49">
        <f t="shared" si="6"/>
        <v>0</v>
      </c>
      <c r="P20" s="49">
        <f t="shared" si="7"/>
        <v>0</v>
      </c>
      <c r="Q20" s="49">
        <f t="shared" si="1"/>
        <v>0</v>
      </c>
      <c r="R20" s="46"/>
      <c r="S20" s="46"/>
      <c r="T20" s="50">
        <f t="shared" si="2"/>
        <v>0</v>
      </c>
      <c r="U20" s="50">
        <f t="shared" si="3"/>
        <v>0</v>
      </c>
      <c r="V20" s="46"/>
      <c r="W20" s="46"/>
      <c r="X20" s="46"/>
      <c r="Y20" s="57">
        <f t="shared" ca="1" si="8"/>
        <v>42206</v>
      </c>
      <c r="Z20" s="46"/>
    </row>
    <row r="21" spans="1:26" ht="15" customHeight="1" x14ac:dyDescent="0.2">
      <c r="A21" s="33"/>
      <c r="B21" s="6" t="str">
        <f t="shared" si="0"/>
        <v/>
      </c>
      <c r="C21" s="1"/>
      <c r="D21" s="1"/>
      <c r="E21" s="25">
        <f t="shared" si="4"/>
        <v>0</v>
      </c>
      <c r="F21" s="25">
        <f t="shared" si="5"/>
        <v>0</v>
      </c>
      <c r="G21" s="21"/>
      <c r="H21" s="59"/>
      <c r="I21" s="59"/>
      <c r="J21" s="59"/>
      <c r="K21" s="59"/>
      <c r="L21" s="59"/>
      <c r="M21" s="59"/>
      <c r="N21" s="12"/>
      <c r="O21" s="49">
        <f t="shared" si="6"/>
        <v>0</v>
      </c>
      <c r="P21" s="49">
        <f t="shared" si="7"/>
        <v>0</v>
      </c>
      <c r="Q21" s="49">
        <f t="shared" si="1"/>
        <v>0</v>
      </c>
      <c r="R21" s="46"/>
      <c r="S21" s="46"/>
      <c r="T21" s="50">
        <f t="shared" si="2"/>
        <v>0</v>
      </c>
      <c r="U21" s="50">
        <f t="shared" si="3"/>
        <v>0</v>
      </c>
      <c r="V21" s="46"/>
      <c r="W21" s="46"/>
      <c r="X21" s="46"/>
      <c r="Y21" s="57">
        <f t="shared" ca="1" si="8"/>
        <v>42192</v>
      </c>
      <c r="Z21" s="46"/>
    </row>
    <row r="22" spans="1:26" ht="15" customHeight="1" x14ac:dyDescent="0.2">
      <c r="A22" s="33"/>
      <c r="B22" s="6" t="str">
        <f t="shared" si="0"/>
        <v/>
      </c>
      <c r="C22" s="1"/>
      <c r="D22" s="1"/>
      <c r="E22" s="25">
        <f t="shared" si="4"/>
        <v>0</v>
      </c>
      <c r="F22" s="25">
        <f t="shared" si="5"/>
        <v>0</v>
      </c>
      <c r="G22" s="21"/>
      <c r="H22" s="59"/>
      <c r="I22" s="59"/>
      <c r="J22" s="59"/>
      <c r="K22" s="59"/>
      <c r="L22" s="59"/>
      <c r="M22" s="59"/>
      <c r="N22" s="12"/>
      <c r="O22" s="49">
        <f t="shared" si="6"/>
        <v>0</v>
      </c>
      <c r="P22" s="49">
        <f t="shared" si="7"/>
        <v>0</v>
      </c>
      <c r="Q22" s="49">
        <f t="shared" si="1"/>
        <v>0</v>
      </c>
      <c r="R22" s="46"/>
      <c r="S22" s="46"/>
      <c r="T22" s="50">
        <f t="shared" si="2"/>
        <v>0</v>
      </c>
      <c r="U22" s="50">
        <f t="shared" si="3"/>
        <v>0</v>
      </c>
      <c r="V22" s="46"/>
      <c r="W22" s="46"/>
      <c r="X22" s="46"/>
      <c r="Y22" s="57">
        <f t="shared" ca="1" si="8"/>
        <v>42178</v>
      </c>
      <c r="Z22" s="46"/>
    </row>
    <row r="23" spans="1:26" ht="15" customHeight="1" x14ac:dyDescent="0.2">
      <c r="A23" s="33"/>
      <c r="B23" s="6" t="str">
        <f t="shared" si="0"/>
        <v/>
      </c>
      <c r="C23" s="1"/>
      <c r="D23" s="1"/>
      <c r="E23" s="25">
        <f t="shared" si="4"/>
        <v>0</v>
      </c>
      <c r="F23" s="25">
        <f t="shared" si="5"/>
        <v>0</v>
      </c>
      <c r="G23" s="21"/>
      <c r="H23" s="59"/>
      <c r="I23" s="59"/>
      <c r="J23" s="59"/>
      <c r="K23" s="59"/>
      <c r="L23" s="59"/>
      <c r="M23" s="59"/>
      <c r="N23" s="12"/>
      <c r="O23" s="49">
        <f t="shared" si="6"/>
        <v>0</v>
      </c>
      <c r="P23" s="49">
        <f t="shared" si="7"/>
        <v>0</v>
      </c>
      <c r="Q23" s="49">
        <f t="shared" si="1"/>
        <v>0</v>
      </c>
      <c r="R23" s="46"/>
      <c r="S23" s="46"/>
      <c r="T23" s="50">
        <f t="shared" si="2"/>
        <v>0</v>
      </c>
      <c r="U23" s="50">
        <f t="shared" si="3"/>
        <v>0</v>
      </c>
      <c r="V23" s="46"/>
      <c r="W23" s="46"/>
      <c r="X23" s="46"/>
      <c r="Y23" s="57">
        <f t="shared" ca="1" si="8"/>
        <v>42164</v>
      </c>
      <c r="Z23" s="46"/>
    </row>
    <row r="24" spans="1:26" ht="15" customHeight="1" x14ac:dyDescent="0.2">
      <c r="A24" s="33"/>
      <c r="B24" s="6" t="str">
        <f t="shared" si="0"/>
        <v/>
      </c>
      <c r="C24" s="1"/>
      <c r="D24" s="1"/>
      <c r="E24" s="25">
        <f t="shared" si="4"/>
        <v>0</v>
      </c>
      <c r="F24" s="25">
        <f t="shared" si="5"/>
        <v>0</v>
      </c>
      <c r="G24" s="21"/>
      <c r="H24" s="59"/>
      <c r="I24" s="59"/>
      <c r="J24" s="59"/>
      <c r="K24" s="59"/>
      <c r="L24" s="59"/>
      <c r="M24" s="59"/>
      <c r="N24" s="12"/>
      <c r="O24" s="49">
        <f t="shared" si="6"/>
        <v>0</v>
      </c>
      <c r="P24" s="49">
        <f t="shared" si="7"/>
        <v>0</v>
      </c>
      <c r="Q24" s="49">
        <f t="shared" si="1"/>
        <v>0</v>
      </c>
      <c r="R24" s="46"/>
      <c r="S24" s="46"/>
      <c r="T24" s="50">
        <f t="shared" si="2"/>
        <v>0</v>
      </c>
      <c r="U24" s="50">
        <f t="shared" si="3"/>
        <v>0</v>
      </c>
      <c r="V24" s="46"/>
      <c r="W24" s="46"/>
      <c r="X24" s="46"/>
      <c r="Y24" s="57">
        <f t="shared" ca="1" si="8"/>
        <v>42150</v>
      </c>
      <c r="Z24" s="46"/>
    </row>
    <row r="25" spans="1:26" ht="15" customHeight="1" x14ac:dyDescent="0.2">
      <c r="A25" s="33"/>
      <c r="B25" s="6" t="str">
        <f t="shared" si="0"/>
        <v/>
      </c>
      <c r="C25" s="1"/>
      <c r="D25" s="1"/>
      <c r="E25" s="25">
        <f t="shared" si="4"/>
        <v>0</v>
      </c>
      <c r="F25" s="25">
        <f t="shared" si="5"/>
        <v>0</v>
      </c>
      <c r="G25" s="21"/>
      <c r="H25" s="59"/>
      <c r="I25" s="59"/>
      <c r="J25" s="59"/>
      <c r="K25" s="59"/>
      <c r="L25" s="59"/>
      <c r="M25" s="59"/>
      <c r="N25" s="12"/>
      <c r="O25" s="49">
        <f t="shared" si="6"/>
        <v>0</v>
      </c>
      <c r="P25" s="49">
        <f t="shared" si="7"/>
        <v>0</v>
      </c>
      <c r="Q25" s="49">
        <f t="shared" si="1"/>
        <v>0</v>
      </c>
      <c r="R25" s="46"/>
      <c r="S25" s="46"/>
      <c r="T25" s="50">
        <f t="shared" si="2"/>
        <v>0</v>
      </c>
      <c r="U25" s="50">
        <f t="shared" si="3"/>
        <v>0</v>
      </c>
      <c r="V25" s="46"/>
      <c r="W25" s="46"/>
      <c r="X25" s="46"/>
      <c r="Y25" s="57">
        <f t="shared" ca="1" si="8"/>
        <v>42136</v>
      </c>
      <c r="Z25" s="46"/>
    </row>
    <row r="26" spans="1:26" ht="15" customHeight="1" x14ac:dyDescent="0.2">
      <c r="A26" s="19" t="s">
        <v>14</v>
      </c>
      <c r="B26" s="22"/>
      <c r="C26" s="32"/>
      <c r="D26" s="32"/>
      <c r="E26" s="25">
        <f>SUM(E11:E25)</f>
        <v>0</v>
      </c>
      <c r="F26" s="25">
        <f>SUM(F12:F25)</f>
        <v>0</v>
      </c>
      <c r="G26" s="21"/>
      <c r="H26" s="59" t="s">
        <v>35</v>
      </c>
      <c r="I26" s="59"/>
      <c r="J26" s="59"/>
      <c r="K26" s="59"/>
      <c r="L26" s="59"/>
      <c r="M26" s="59"/>
      <c r="N26" s="12"/>
      <c r="O26" s="46"/>
      <c r="P26" s="46"/>
      <c r="Q26" s="46"/>
      <c r="R26" s="46"/>
      <c r="S26" s="46"/>
      <c r="T26" s="46"/>
      <c r="U26" s="46"/>
      <c r="V26" s="46"/>
      <c r="W26" s="46"/>
      <c r="X26" s="46"/>
      <c r="Y26" s="57">
        <f t="shared" ca="1" si="8"/>
        <v>42122</v>
      </c>
      <c r="Z26" s="46"/>
    </row>
    <row r="27" spans="1:26" ht="15" customHeight="1" x14ac:dyDescent="0.2">
      <c r="A27" s="19"/>
      <c r="B27" s="22"/>
      <c r="C27" s="32"/>
      <c r="D27" s="32"/>
      <c r="E27" s="32"/>
      <c r="F27" s="32"/>
      <c r="G27" s="21"/>
      <c r="H27" s="59"/>
      <c r="I27" s="59"/>
      <c r="J27" s="59"/>
      <c r="K27" s="59"/>
      <c r="L27" s="59"/>
      <c r="M27" s="59"/>
      <c r="N27" s="12"/>
      <c r="O27" s="46"/>
      <c r="P27" s="46"/>
      <c r="Q27" s="46"/>
      <c r="R27" s="46"/>
      <c r="S27" s="46"/>
      <c r="T27" s="46"/>
      <c r="U27" s="46"/>
      <c r="V27" s="46"/>
      <c r="W27" s="46"/>
      <c r="X27" s="46"/>
      <c r="Y27" s="57">
        <f t="shared" ca="1" si="8"/>
        <v>42108</v>
      </c>
      <c r="Z27" s="46"/>
    </row>
    <row r="28" spans="1:26" s="4" customFormat="1" ht="15" customHeight="1" x14ac:dyDescent="0.2">
      <c r="A28" s="7" t="s">
        <v>31</v>
      </c>
      <c r="B28" s="7" t="s">
        <v>0</v>
      </c>
      <c r="C28" s="7" t="s">
        <v>1</v>
      </c>
      <c r="D28" s="7" t="s">
        <v>2</v>
      </c>
      <c r="E28" s="7" t="s">
        <v>25</v>
      </c>
      <c r="F28" s="7" t="s">
        <v>26</v>
      </c>
      <c r="G28" s="18"/>
      <c r="H28" s="59"/>
      <c r="I28" s="59"/>
      <c r="J28" s="59"/>
      <c r="K28" s="59"/>
      <c r="L28" s="59"/>
      <c r="M28" s="59"/>
      <c r="N28" s="41"/>
      <c r="O28" s="47"/>
      <c r="P28" s="47"/>
      <c r="Q28" s="47"/>
      <c r="R28" s="48"/>
      <c r="S28" s="48"/>
      <c r="T28" s="48"/>
      <c r="U28" s="48"/>
      <c r="V28" s="48"/>
      <c r="W28" s="48"/>
      <c r="X28" s="48"/>
      <c r="Y28" s="57">
        <f t="shared" ca="1" si="8"/>
        <v>42094</v>
      </c>
      <c r="Z28" s="48"/>
    </row>
    <row r="29" spans="1:26" ht="15" customHeight="1" x14ac:dyDescent="0.2">
      <c r="A29" s="33"/>
      <c r="B29" s="6" t="str">
        <f>IF($K$1="","",IF(A29="Wed",$K$1-6,IF(A29="Thurs",$K$1-5,IF(A29="Fri",$K$1-4,IF(A29="Sat",$K$1-3,IF(A29="Sun",$K$1-2,IF(A29="Mon",$K$1-1,IF(A29="Tues",$K$1,""))))))))</f>
        <v/>
      </c>
      <c r="C29" s="1"/>
      <c r="D29" s="1"/>
      <c r="E29" s="25">
        <f>O29</f>
        <v>0</v>
      </c>
      <c r="F29" s="31"/>
      <c r="G29" s="21"/>
      <c r="H29" s="59"/>
      <c r="I29" s="59"/>
      <c r="J29" s="59"/>
      <c r="K29" s="59"/>
      <c r="L29" s="59"/>
      <c r="M29" s="59"/>
      <c r="N29" s="12"/>
      <c r="O29" s="49">
        <f>ROUND(IF(T29=0,0,U29+MINUTE(D29)/60-HOUR(C29)-MINUTE(C29)/60), 2)</f>
        <v>0</v>
      </c>
      <c r="P29" s="49">
        <f>O29</f>
        <v>0</v>
      </c>
      <c r="Q29" s="50"/>
      <c r="R29" s="46"/>
      <c r="S29" s="46"/>
      <c r="T29" s="50">
        <f t="shared" ref="T29:T43" si="9">IF(C29&lt;&gt;"", IF(D29 &lt;&gt; "", 1, 0), 0)</f>
        <v>0</v>
      </c>
      <c r="U29" s="50">
        <f t="shared" ref="U29:U43" si="10">IF(T29=1,IF(D29="",0,IF(HOUR(C29)&gt;HOUR(D29),HOUR(D29)+24,HOUR(D29))),0)</f>
        <v>0</v>
      </c>
      <c r="V29" s="46"/>
      <c r="W29" s="46"/>
      <c r="X29" s="46"/>
      <c r="Y29" s="57">
        <f t="shared" ca="1" si="8"/>
        <v>42080</v>
      </c>
      <c r="Z29" s="46"/>
    </row>
    <row r="30" spans="1:26" ht="15" customHeight="1" x14ac:dyDescent="0.2">
      <c r="A30" s="33"/>
      <c r="B30" s="6" t="str">
        <f t="shared" ref="B30:B43" si="11">IF($K$1="","",IF(A30="Wed",$K$1-6,IF(A30="Thurs",$K$1-5,IF(A30="Fri",$K$1-4,IF(A30="Sat",$K$1-3,IF(A30="Sun",$K$1-2,IF(A30="Mon",$K$1-1,IF(A30="Tues",$K$1,""))))))))</f>
        <v/>
      </c>
      <c r="C30" s="1"/>
      <c r="D30" s="1"/>
      <c r="E30" s="25">
        <f>IF(O30=0,0,O30-F30)</f>
        <v>0</v>
      </c>
      <c r="F30" s="25">
        <f>IF(O30=0,0,IF(P30&gt;40,P30-40-Q29,0))</f>
        <v>0</v>
      </c>
      <c r="G30" s="21"/>
      <c r="H30" s="59"/>
      <c r="I30" s="59"/>
      <c r="J30" s="59"/>
      <c r="K30" s="59"/>
      <c r="L30" s="59"/>
      <c r="M30" s="59"/>
      <c r="N30" s="12"/>
      <c r="O30" s="49">
        <f>ROUND(IF(T30=0,0,U30+MINUTE(D30)/60-HOUR(C30)-MINUTE(C30)/60), 2)</f>
        <v>0</v>
      </c>
      <c r="P30" s="49">
        <f t="shared" ref="P30:P43" si="12">P29+O30</f>
        <v>0</v>
      </c>
      <c r="Q30" s="49">
        <f t="shared" ref="Q30:Q42" si="13">Q29+IF(P30&gt;40,P30-40-Q29,0)</f>
        <v>0</v>
      </c>
      <c r="R30" s="46"/>
      <c r="S30" s="46"/>
      <c r="T30" s="50">
        <f t="shared" si="9"/>
        <v>0</v>
      </c>
      <c r="U30" s="50">
        <f t="shared" si="10"/>
        <v>0</v>
      </c>
      <c r="V30" s="46"/>
      <c r="W30" s="46"/>
      <c r="X30" s="46"/>
      <c r="Y30" s="57">
        <f t="shared" ca="1" si="8"/>
        <v>42066</v>
      </c>
      <c r="Z30" s="46"/>
    </row>
    <row r="31" spans="1:26" ht="15" customHeight="1" x14ac:dyDescent="0.2">
      <c r="A31" s="33"/>
      <c r="B31" s="6" t="str">
        <f t="shared" si="11"/>
        <v/>
      </c>
      <c r="C31" s="1"/>
      <c r="D31" s="1"/>
      <c r="E31" s="25">
        <f t="shared" ref="E31:E43" si="14">IF(O31=0,0,O31-F31)</f>
        <v>0</v>
      </c>
      <c r="F31" s="25">
        <f t="shared" ref="F31:F43" si="15">IF(O31=0,0,IF(P31&gt;40,P31-40-Q30,0))</f>
        <v>0</v>
      </c>
      <c r="G31" s="21"/>
      <c r="H31" s="59" t="s">
        <v>36</v>
      </c>
      <c r="I31" s="59"/>
      <c r="J31" s="59"/>
      <c r="K31" s="59"/>
      <c r="L31" s="59"/>
      <c r="M31" s="59"/>
      <c r="N31" s="12"/>
      <c r="O31" s="49">
        <f t="shared" ref="O31:O43" si="16">ROUND(IF(T31=0,0,U31+MINUTE(D31)/60-HOUR(C31)-MINUTE(C31)/60), 2)</f>
        <v>0</v>
      </c>
      <c r="P31" s="49">
        <f t="shared" si="12"/>
        <v>0</v>
      </c>
      <c r="Q31" s="49">
        <f t="shared" si="13"/>
        <v>0</v>
      </c>
      <c r="R31" s="46"/>
      <c r="S31" s="46"/>
      <c r="T31" s="50">
        <f t="shared" si="9"/>
        <v>0</v>
      </c>
      <c r="U31" s="50">
        <f t="shared" si="10"/>
        <v>0</v>
      </c>
      <c r="V31" s="46"/>
      <c r="W31" s="46"/>
      <c r="X31" s="46"/>
      <c r="Y31" s="57">
        <f t="shared" ca="1" si="8"/>
        <v>42052</v>
      </c>
      <c r="Z31" s="46"/>
    </row>
    <row r="32" spans="1:26" ht="15" customHeight="1" x14ac:dyDescent="0.2">
      <c r="A32" s="33"/>
      <c r="B32" s="6" t="str">
        <f t="shared" si="11"/>
        <v/>
      </c>
      <c r="C32" s="1"/>
      <c r="D32" s="1"/>
      <c r="E32" s="25">
        <f t="shared" si="14"/>
        <v>0</v>
      </c>
      <c r="F32" s="25">
        <f t="shared" si="15"/>
        <v>0</v>
      </c>
      <c r="G32" s="21"/>
      <c r="H32" s="59"/>
      <c r="I32" s="59"/>
      <c r="J32" s="59"/>
      <c r="K32" s="59"/>
      <c r="L32" s="59"/>
      <c r="M32" s="59"/>
      <c r="N32" s="12"/>
      <c r="O32" s="49">
        <f t="shared" si="16"/>
        <v>0</v>
      </c>
      <c r="P32" s="49">
        <f t="shared" si="12"/>
        <v>0</v>
      </c>
      <c r="Q32" s="49">
        <f t="shared" si="13"/>
        <v>0</v>
      </c>
      <c r="R32" s="46"/>
      <c r="S32" s="46"/>
      <c r="T32" s="50">
        <f t="shared" si="9"/>
        <v>0</v>
      </c>
      <c r="U32" s="50">
        <f t="shared" si="10"/>
        <v>0</v>
      </c>
      <c r="V32" s="46"/>
      <c r="W32" s="46"/>
      <c r="X32" s="46"/>
      <c r="Y32" s="57">
        <f t="shared" ca="1" si="8"/>
        <v>42038</v>
      </c>
      <c r="Z32" s="46"/>
    </row>
    <row r="33" spans="1:26" ht="15" customHeight="1" x14ac:dyDescent="0.2">
      <c r="A33" s="33"/>
      <c r="B33" s="6" t="str">
        <f t="shared" si="11"/>
        <v/>
      </c>
      <c r="C33" s="1"/>
      <c r="D33" s="1"/>
      <c r="E33" s="25">
        <f t="shared" si="14"/>
        <v>0</v>
      </c>
      <c r="F33" s="25">
        <f t="shared" si="15"/>
        <v>0</v>
      </c>
      <c r="G33" s="21"/>
      <c r="H33" s="59"/>
      <c r="I33" s="59"/>
      <c r="J33" s="59"/>
      <c r="K33" s="59"/>
      <c r="L33" s="59"/>
      <c r="M33" s="59"/>
      <c r="N33" s="12"/>
      <c r="O33" s="49">
        <f t="shared" si="16"/>
        <v>0</v>
      </c>
      <c r="P33" s="49">
        <f t="shared" si="12"/>
        <v>0</v>
      </c>
      <c r="Q33" s="49">
        <f t="shared" si="13"/>
        <v>0</v>
      </c>
      <c r="R33" s="46"/>
      <c r="S33" s="46"/>
      <c r="T33" s="50">
        <f t="shared" si="9"/>
        <v>0</v>
      </c>
      <c r="U33" s="50">
        <f t="shared" si="10"/>
        <v>0</v>
      </c>
      <c r="V33" s="46"/>
      <c r="W33" s="46"/>
      <c r="X33" s="46"/>
      <c r="Y33" s="57">
        <f t="shared" ca="1" si="8"/>
        <v>42024</v>
      </c>
      <c r="Z33" s="46"/>
    </row>
    <row r="34" spans="1:26" ht="15" customHeight="1" x14ac:dyDescent="0.2">
      <c r="A34" s="33"/>
      <c r="B34" s="6" t="str">
        <f t="shared" si="11"/>
        <v/>
      </c>
      <c r="C34" s="1"/>
      <c r="D34" s="1"/>
      <c r="E34" s="25">
        <f t="shared" si="14"/>
        <v>0</v>
      </c>
      <c r="F34" s="25">
        <f t="shared" si="15"/>
        <v>0</v>
      </c>
      <c r="G34" s="21"/>
      <c r="H34" s="42"/>
      <c r="I34" s="42"/>
      <c r="J34" s="42"/>
      <c r="K34" s="42"/>
      <c r="L34" s="42"/>
      <c r="M34" s="42"/>
      <c r="N34" s="12"/>
      <c r="O34" s="49">
        <f t="shared" si="16"/>
        <v>0</v>
      </c>
      <c r="P34" s="49">
        <f t="shared" si="12"/>
        <v>0</v>
      </c>
      <c r="Q34" s="49">
        <f t="shared" si="13"/>
        <v>0</v>
      </c>
      <c r="R34" s="46"/>
      <c r="S34" s="46"/>
      <c r="T34" s="50">
        <f t="shared" si="9"/>
        <v>0</v>
      </c>
      <c r="U34" s="50">
        <f t="shared" si="10"/>
        <v>0</v>
      </c>
      <c r="V34" s="46"/>
      <c r="W34" s="46"/>
      <c r="X34" s="46"/>
      <c r="Y34" s="57">
        <f t="shared" ca="1" si="8"/>
        <v>42010</v>
      </c>
      <c r="Z34" s="46"/>
    </row>
    <row r="35" spans="1:26" ht="15" customHeight="1" x14ac:dyDescent="0.2">
      <c r="A35" s="33"/>
      <c r="B35" s="6" t="str">
        <f t="shared" si="11"/>
        <v/>
      </c>
      <c r="C35" s="1"/>
      <c r="D35" s="1"/>
      <c r="E35" s="25">
        <f t="shared" si="14"/>
        <v>0</v>
      </c>
      <c r="F35" s="25">
        <f t="shared" si="15"/>
        <v>0</v>
      </c>
      <c r="G35" s="21"/>
      <c r="H35" s="59" t="s">
        <v>37</v>
      </c>
      <c r="I35" s="59"/>
      <c r="J35" s="59"/>
      <c r="K35" s="59"/>
      <c r="L35" s="59"/>
      <c r="M35" s="59"/>
      <c r="N35" s="12"/>
      <c r="O35" s="49">
        <f t="shared" si="16"/>
        <v>0</v>
      </c>
      <c r="P35" s="49">
        <f t="shared" si="12"/>
        <v>0</v>
      </c>
      <c r="Q35" s="49">
        <f t="shared" si="13"/>
        <v>0</v>
      </c>
      <c r="R35" s="46"/>
      <c r="S35" s="46"/>
      <c r="T35" s="50">
        <f t="shared" si="9"/>
        <v>0</v>
      </c>
      <c r="U35" s="50">
        <f t="shared" si="10"/>
        <v>0</v>
      </c>
      <c r="V35" s="46"/>
      <c r="W35" s="46"/>
      <c r="X35" s="46"/>
      <c r="Y35" s="57">
        <f t="shared" ca="1" si="8"/>
        <v>41996</v>
      </c>
      <c r="Z35" s="46"/>
    </row>
    <row r="36" spans="1:26" ht="15" customHeight="1" x14ac:dyDescent="0.2">
      <c r="A36" s="33"/>
      <c r="B36" s="6" t="str">
        <f t="shared" si="11"/>
        <v/>
      </c>
      <c r="C36" s="1"/>
      <c r="D36" s="1"/>
      <c r="E36" s="25">
        <f t="shared" si="14"/>
        <v>0</v>
      </c>
      <c r="F36" s="25">
        <f t="shared" si="15"/>
        <v>0</v>
      </c>
      <c r="G36" s="21"/>
      <c r="H36" s="59"/>
      <c r="I36" s="59"/>
      <c r="J36" s="59"/>
      <c r="K36" s="59"/>
      <c r="L36" s="59"/>
      <c r="M36" s="59"/>
      <c r="N36" s="12"/>
      <c r="O36" s="49">
        <f t="shared" si="16"/>
        <v>0</v>
      </c>
      <c r="P36" s="49">
        <f t="shared" si="12"/>
        <v>0</v>
      </c>
      <c r="Q36" s="49">
        <f t="shared" si="13"/>
        <v>0</v>
      </c>
      <c r="R36" s="46"/>
      <c r="S36" s="46"/>
      <c r="T36" s="50">
        <f t="shared" si="9"/>
        <v>0</v>
      </c>
      <c r="U36" s="50">
        <f t="shared" si="10"/>
        <v>0</v>
      </c>
      <c r="V36" s="46"/>
      <c r="W36" s="46"/>
      <c r="X36" s="46"/>
      <c r="Y36" s="57">
        <f t="shared" ca="1" si="8"/>
        <v>41982</v>
      </c>
      <c r="Z36" s="46"/>
    </row>
    <row r="37" spans="1:26" ht="15" customHeight="1" x14ac:dyDescent="0.2">
      <c r="A37" s="33"/>
      <c r="B37" s="6" t="str">
        <f t="shared" si="11"/>
        <v/>
      </c>
      <c r="C37" s="1"/>
      <c r="D37" s="1"/>
      <c r="E37" s="25">
        <f t="shared" si="14"/>
        <v>0</v>
      </c>
      <c r="F37" s="25">
        <f t="shared" si="15"/>
        <v>0</v>
      </c>
      <c r="G37" s="21"/>
      <c r="H37" s="59"/>
      <c r="I37" s="59"/>
      <c r="J37" s="59"/>
      <c r="K37" s="59"/>
      <c r="L37" s="59"/>
      <c r="M37" s="59"/>
      <c r="N37" s="12"/>
      <c r="O37" s="49">
        <f t="shared" si="16"/>
        <v>0</v>
      </c>
      <c r="P37" s="49">
        <f t="shared" si="12"/>
        <v>0</v>
      </c>
      <c r="Q37" s="49">
        <f t="shared" si="13"/>
        <v>0</v>
      </c>
      <c r="R37" s="46"/>
      <c r="S37" s="46"/>
      <c r="T37" s="50">
        <f t="shared" si="9"/>
        <v>0</v>
      </c>
      <c r="U37" s="50">
        <f t="shared" si="10"/>
        <v>0</v>
      </c>
      <c r="V37" s="46"/>
      <c r="W37" s="46"/>
      <c r="X37" s="46"/>
      <c r="Y37" s="57">
        <f t="shared" ca="1" si="8"/>
        <v>41968</v>
      </c>
      <c r="Z37" s="46"/>
    </row>
    <row r="38" spans="1:26" ht="15" customHeight="1" x14ac:dyDescent="0.2">
      <c r="A38" s="33"/>
      <c r="B38" s="6" t="str">
        <f t="shared" si="11"/>
        <v/>
      </c>
      <c r="C38" s="1"/>
      <c r="D38" s="1"/>
      <c r="E38" s="25">
        <f t="shared" si="14"/>
        <v>0</v>
      </c>
      <c r="F38" s="25">
        <f t="shared" si="15"/>
        <v>0</v>
      </c>
      <c r="G38" s="21"/>
      <c r="H38" s="59"/>
      <c r="I38" s="59"/>
      <c r="J38" s="59"/>
      <c r="K38" s="59"/>
      <c r="L38" s="59"/>
      <c r="M38" s="59"/>
      <c r="N38" s="12"/>
      <c r="O38" s="49">
        <f t="shared" si="16"/>
        <v>0</v>
      </c>
      <c r="P38" s="49">
        <f t="shared" si="12"/>
        <v>0</v>
      </c>
      <c r="Q38" s="49">
        <f t="shared" si="13"/>
        <v>0</v>
      </c>
      <c r="R38" s="46"/>
      <c r="S38" s="46"/>
      <c r="T38" s="50">
        <f t="shared" si="9"/>
        <v>0</v>
      </c>
      <c r="U38" s="50">
        <f t="shared" si="10"/>
        <v>0</v>
      </c>
      <c r="V38" s="46"/>
      <c r="W38" s="46"/>
      <c r="X38" s="46"/>
      <c r="Y38" s="58"/>
      <c r="Z38" s="46"/>
    </row>
    <row r="39" spans="1:26" ht="15" customHeight="1" x14ac:dyDescent="0.2">
      <c r="A39" s="33"/>
      <c r="B39" s="6" t="str">
        <f t="shared" si="11"/>
        <v/>
      </c>
      <c r="C39" s="1"/>
      <c r="D39" s="1"/>
      <c r="E39" s="25">
        <f t="shared" si="14"/>
        <v>0</v>
      </c>
      <c r="F39" s="25">
        <f t="shared" si="15"/>
        <v>0</v>
      </c>
      <c r="G39" s="21"/>
      <c r="H39" s="59"/>
      <c r="I39" s="59"/>
      <c r="J39" s="59"/>
      <c r="K39" s="59"/>
      <c r="L39" s="59"/>
      <c r="M39" s="59"/>
      <c r="N39" s="12"/>
      <c r="O39" s="49">
        <f t="shared" si="16"/>
        <v>0</v>
      </c>
      <c r="P39" s="49">
        <f t="shared" si="12"/>
        <v>0</v>
      </c>
      <c r="Q39" s="49">
        <f t="shared" si="13"/>
        <v>0</v>
      </c>
      <c r="R39" s="46"/>
      <c r="S39" s="46"/>
      <c r="T39" s="50">
        <f t="shared" si="9"/>
        <v>0</v>
      </c>
      <c r="U39" s="50">
        <f t="shared" si="10"/>
        <v>0</v>
      </c>
      <c r="V39" s="46"/>
      <c r="W39" s="46"/>
      <c r="X39" s="46"/>
      <c r="Y39" s="58"/>
      <c r="Z39" s="46"/>
    </row>
    <row r="40" spans="1:26" ht="15" customHeight="1" x14ac:dyDescent="0.2">
      <c r="A40" s="33"/>
      <c r="B40" s="6" t="str">
        <f t="shared" si="11"/>
        <v/>
      </c>
      <c r="C40" s="1"/>
      <c r="D40" s="1"/>
      <c r="E40" s="25">
        <f t="shared" si="14"/>
        <v>0</v>
      </c>
      <c r="F40" s="25">
        <f t="shared" si="15"/>
        <v>0</v>
      </c>
      <c r="G40" s="21"/>
      <c r="H40" s="59"/>
      <c r="I40" s="59"/>
      <c r="J40" s="59"/>
      <c r="K40" s="59"/>
      <c r="L40" s="59"/>
      <c r="M40" s="59"/>
      <c r="N40" s="12"/>
      <c r="O40" s="49">
        <f t="shared" si="16"/>
        <v>0</v>
      </c>
      <c r="P40" s="49">
        <f t="shared" si="12"/>
        <v>0</v>
      </c>
      <c r="Q40" s="49">
        <f t="shared" si="13"/>
        <v>0</v>
      </c>
      <c r="R40" s="46"/>
      <c r="S40" s="46"/>
      <c r="T40" s="50">
        <f t="shared" si="9"/>
        <v>0</v>
      </c>
      <c r="U40" s="50">
        <f t="shared" si="10"/>
        <v>0</v>
      </c>
      <c r="V40" s="46"/>
      <c r="W40" s="46"/>
      <c r="X40" s="46"/>
      <c r="Y40" s="58"/>
      <c r="Z40" s="46"/>
    </row>
    <row r="41" spans="1:26" ht="15" customHeight="1" x14ac:dyDescent="0.2">
      <c r="A41" s="33"/>
      <c r="B41" s="6" t="str">
        <f t="shared" si="11"/>
        <v/>
      </c>
      <c r="C41" s="1"/>
      <c r="D41" s="1"/>
      <c r="E41" s="25">
        <f t="shared" si="14"/>
        <v>0</v>
      </c>
      <c r="F41" s="25">
        <f t="shared" si="15"/>
        <v>0</v>
      </c>
      <c r="G41" s="21"/>
      <c r="H41" s="59"/>
      <c r="I41" s="59"/>
      <c r="J41" s="59"/>
      <c r="K41" s="59"/>
      <c r="L41" s="59"/>
      <c r="M41" s="59"/>
      <c r="N41" s="12"/>
      <c r="O41" s="49">
        <f t="shared" si="16"/>
        <v>0</v>
      </c>
      <c r="P41" s="49">
        <f t="shared" si="12"/>
        <v>0</v>
      </c>
      <c r="Q41" s="49">
        <f t="shared" si="13"/>
        <v>0</v>
      </c>
      <c r="R41" s="46"/>
      <c r="S41" s="46"/>
      <c r="T41" s="50">
        <f t="shared" si="9"/>
        <v>0</v>
      </c>
      <c r="U41" s="50">
        <f t="shared" si="10"/>
        <v>0</v>
      </c>
      <c r="V41" s="46"/>
      <c r="W41" s="46"/>
      <c r="X41" s="46"/>
      <c r="Y41" s="58"/>
      <c r="Z41" s="46"/>
    </row>
    <row r="42" spans="1:26" ht="15" customHeight="1" x14ac:dyDescent="0.2">
      <c r="A42" s="33"/>
      <c r="B42" s="6" t="str">
        <f t="shared" si="11"/>
        <v/>
      </c>
      <c r="C42" s="1"/>
      <c r="D42" s="1"/>
      <c r="E42" s="25">
        <f t="shared" si="14"/>
        <v>0</v>
      </c>
      <c r="F42" s="25">
        <f t="shared" si="15"/>
        <v>0</v>
      </c>
      <c r="G42" s="21"/>
      <c r="H42" s="59"/>
      <c r="I42" s="59"/>
      <c r="J42" s="59"/>
      <c r="K42" s="59"/>
      <c r="L42" s="59"/>
      <c r="M42" s="59"/>
      <c r="N42" s="12"/>
      <c r="O42" s="49">
        <f t="shared" si="16"/>
        <v>0</v>
      </c>
      <c r="P42" s="49">
        <f t="shared" si="12"/>
        <v>0</v>
      </c>
      <c r="Q42" s="49">
        <f t="shared" si="13"/>
        <v>0</v>
      </c>
      <c r="R42" s="46"/>
      <c r="S42" s="46"/>
      <c r="T42" s="50">
        <f t="shared" si="9"/>
        <v>0</v>
      </c>
      <c r="U42" s="50">
        <f t="shared" si="10"/>
        <v>0</v>
      </c>
      <c r="V42" s="46"/>
      <c r="W42" s="46"/>
      <c r="X42" s="46"/>
      <c r="Y42" s="58"/>
      <c r="Z42" s="46"/>
    </row>
    <row r="43" spans="1:26" ht="15" customHeight="1" x14ac:dyDescent="0.2">
      <c r="A43" s="33"/>
      <c r="B43" s="6" t="str">
        <f t="shared" si="11"/>
        <v/>
      </c>
      <c r="C43" s="1"/>
      <c r="D43" s="1"/>
      <c r="E43" s="25">
        <f t="shared" si="14"/>
        <v>0</v>
      </c>
      <c r="F43" s="25">
        <f t="shared" si="15"/>
        <v>0</v>
      </c>
      <c r="G43" s="21"/>
      <c r="H43" s="59"/>
      <c r="I43" s="59"/>
      <c r="J43" s="59"/>
      <c r="K43" s="59"/>
      <c r="L43" s="59"/>
      <c r="M43" s="59"/>
      <c r="N43" s="12"/>
      <c r="O43" s="49">
        <f t="shared" si="16"/>
        <v>0</v>
      </c>
      <c r="P43" s="49">
        <f t="shared" si="12"/>
        <v>0</v>
      </c>
      <c r="Q43" s="49">
        <f>IF(O43=0,0,Q42+F43)</f>
        <v>0</v>
      </c>
      <c r="R43" s="46"/>
      <c r="S43" s="46"/>
      <c r="T43" s="50">
        <f t="shared" si="9"/>
        <v>0</v>
      </c>
      <c r="U43" s="50">
        <f t="shared" si="10"/>
        <v>0</v>
      </c>
      <c r="V43" s="46"/>
      <c r="W43" s="46"/>
      <c r="X43" s="46"/>
      <c r="Y43" s="58"/>
      <c r="Z43" s="46"/>
    </row>
    <row r="44" spans="1:26" s="26" customFormat="1" ht="15" customHeight="1" x14ac:dyDescent="0.2">
      <c r="A44" s="9" t="s">
        <v>15</v>
      </c>
      <c r="B44" s="34"/>
      <c r="C44" s="35"/>
      <c r="D44" s="36"/>
      <c r="E44" s="37">
        <f>SUM(E29:E43)</f>
        <v>0</v>
      </c>
      <c r="F44" s="37">
        <f>SUM(F30:F43)</f>
        <v>0</v>
      </c>
      <c r="G44" s="38"/>
      <c r="H44" s="59"/>
      <c r="I44" s="59"/>
      <c r="J44" s="59"/>
      <c r="K44" s="59"/>
      <c r="L44" s="59"/>
      <c r="M44" s="59"/>
      <c r="N44" s="34"/>
      <c r="O44" s="51"/>
      <c r="P44" s="51"/>
      <c r="Q44" s="51"/>
      <c r="R44" s="51"/>
      <c r="S44" s="51"/>
      <c r="T44" s="51"/>
      <c r="U44" s="51"/>
      <c r="V44" s="51"/>
      <c r="W44" s="51"/>
      <c r="X44" s="51"/>
      <c r="Y44" s="51"/>
      <c r="Z44" s="51"/>
    </row>
    <row r="45" spans="1:26" s="26" customFormat="1" ht="15" customHeight="1" x14ac:dyDescent="0.2">
      <c r="A45" s="9"/>
      <c r="B45" s="34"/>
      <c r="C45" s="35"/>
      <c r="D45" s="36"/>
      <c r="E45" s="28"/>
      <c r="F45" s="28"/>
      <c r="G45" s="38"/>
      <c r="H45" s="59"/>
      <c r="I45" s="59"/>
      <c r="J45" s="59"/>
      <c r="K45" s="59"/>
      <c r="L45" s="59"/>
      <c r="M45" s="59"/>
      <c r="N45" s="34"/>
      <c r="O45" s="51"/>
      <c r="P45" s="51"/>
      <c r="Q45" s="51"/>
      <c r="R45" s="51"/>
      <c r="S45" s="51"/>
      <c r="T45" s="51"/>
      <c r="U45" s="51"/>
      <c r="V45" s="51"/>
      <c r="W45" s="51"/>
      <c r="X45" s="51"/>
      <c r="Y45" s="51"/>
      <c r="Z45" s="51"/>
    </row>
    <row r="46" spans="1:26" s="26" customFormat="1" ht="15" customHeight="1" x14ac:dyDescent="0.2">
      <c r="A46" s="9" t="s">
        <v>27</v>
      </c>
      <c r="B46" s="34"/>
      <c r="C46" s="35"/>
      <c r="D46" s="36"/>
      <c r="E46" s="37">
        <f>E26+E44</f>
        <v>0</v>
      </c>
      <c r="F46" s="37">
        <f>F26++F44</f>
        <v>0</v>
      </c>
      <c r="G46" s="38"/>
      <c r="H46" s="42"/>
      <c r="I46" s="42"/>
      <c r="J46" s="42"/>
      <c r="K46" s="42"/>
      <c r="L46" s="42"/>
      <c r="M46" s="42"/>
      <c r="N46" s="34"/>
      <c r="O46" s="51"/>
      <c r="P46" s="51"/>
      <c r="Q46" s="51"/>
      <c r="R46" s="51"/>
      <c r="S46" s="51"/>
      <c r="T46" s="51"/>
      <c r="U46" s="51"/>
      <c r="V46" s="51"/>
      <c r="W46" s="51"/>
      <c r="X46" s="51"/>
      <c r="Y46" s="51"/>
      <c r="Z46" s="51"/>
    </row>
    <row r="47" spans="1:26" s="26" customFormat="1" ht="15" customHeight="1" x14ac:dyDescent="0.2">
      <c r="A47" s="34"/>
      <c r="B47" s="34"/>
      <c r="C47" s="34"/>
      <c r="D47" s="34"/>
      <c r="E47" s="34"/>
      <c r="F47" s="34"/>
      <c r="G47" s="39"/>
      <c r="H47" s="39"/>
      <c r="I47" s="34"/>
      <c r="J47" s="34"/>
      <c r="K47" s="34"/>
      <c r="L47" s="34"/>
      <c r="M47" s="34"/>
      <c r="N47" s="34"/>
      <c r="O47" s="51"/>
      <c r="P47" s="51"/>
      <c r="Q47" s="51"/>
      <c r="R47" s="51"/>
      <c r="S47" s="51"/>
      <c r="T47" s="51"/>
      <c r="U47" s="51"/>
      <c r="V47" s="51"/>
      <c r="W47" s="51"/>
      <c r="X47" s="51"/>
      <c r="Y47" s="51"/>
      <c r="Z47" s="51"/>
    </row>
    <row r="48" spans="1:26" ht="15" customHeight="1" x14ac:dyDescent="0.2">
      <c r="A48" s="11" t="s">
        <v>16</v>
      </c>
      <c r="B48" s="12"/>
      <c r="C48" s="12"/>
      <c r="D48" s="25">
        <f>E46+F46</f>
        <v>0</v>
      </c>
      <c r="E48" s="12"/>
      <c r="F48" s="12"/>
      <c r="G48" s="12"/>
      <c r="H48" s="12"/>
      <c r="I48" s="12"/>
      <c r="J48" s="12"/>
      <c r="K48" s="12"/>
      <c r="L48" s="12"/>
      <c r="M48" s="12"/>
      <c r="N48" s="12"/>
      <c r="O48" s="46"/>
      <c r="P48" s="46"/>
      <c r="Q48" s="46"/>
      <c r="R48" s="46"/>
      <c r="S48" s="46"/>
      <c r="T48" s="46"/>
      <c r="U48" s="46"/>
      <c r="V48" s="46"/>
      <c r="W48" s="46"/>
      <c r="X48" s="46"/>
      <c r="Y48" s="46"/>
      <c r="Z48" s="46"/>
    </row>
    <row r="49" spans="1:14" x14ac:dyDescent="0.2">
      <c r="A49" s="23"/>
      <c r="B49" s="12"/>
      <c r="C49" s="12"/>
      <c r="D49" s="12"/>
      <c r="E49" s="12"/>
      <c r="F49" s="12"/>
      <c r="G49" s="12"/>
      <c r="H49" s="12"/>
      <c r="I49" s="12"/>
      <c r="J49" s="12"/>
      <c r="K49" s="12"/>
      <c r="L49" s="12"/>
      <c r="M49" s="12"/>
      <c r="N49" s="12"/>
    </row>
    <row r="50" spans="1:14" x14ac:dyDescent="0.2">
      <c r="A50" s="9" t="s">
        <v>4</v>
      </c>
      <c r="B50" s="13"/>
      <c r="C50" s="12"/>
      <c r="D50" s="62"/>
      <c r="E50" s="62"/>
      <c r="F50" s="62"/>
      <c r="G50" s="62"/>
      <c r="H50" s="62"/>
      <c r="I50" s="12"/>
      <c r="J50" s="14" t="s">
        <v>6</v>
      </c>
      <c r="K50" s="60"/>
      <c r="L50" s="61"/>
      <c r="M50" s="12"/>
      <c r="N50" s="12"/>
    </row>
    <row r="51" spans="1:14" x14ac:dyDescent="0.2">
      <c r="A51" s="12"/>
      <c r="B51" s="13"/>
      <c r="C51" s="12"/>
      <c r="D51" s="12"/>
      <c r="E51" s="12"/>
      <c r="F51" s="12"/>
      <c r="G51" s="12"/>
      <c r="H51" s="12"/>
      <c r="I51" s="12"/>
      <c r="J51" s="12"/>
      <c r="K51" s="12"/>
      <c r="L51" s="12"/>
      <c r="M51" s="12"/>
      <c r="N51" s="12"/>
    </row>
    <row r="52" spans="1:14" x14ac:dyDescent="0.2">
      <c r="A52" s="9" t="s">
        <v>5</v>
      </c>
      <c r="B52" s="13"/>
      <c r="C52" s="12"/>
      <c r="D52" s="62"/>
      <c r="E52" s="62"/>
      <c r="F52" s="62"/>
      <c r="G52" s="62"/>
      <c r="H52" s="62"/>
      <c r="I52" s="12"/>
      <c r="J52" s="14" t="s">
        <v>6</v>
      </c>
      <c r="K52" s="60"/>
      <c r="L52" s="61"/>
      <c r="M52" s="12"/>
      <c r="N52" s="12"/>
    </row>
    <row r="53" spans="1:14" x14ac:dyDescent="0.2">
      <c r="A53" s="12"/>
      <c r="B53" s="13"/>
      <c r="C53" s="12"/>
      <c r="D53" s="12"/>
      <c r="E53" s="12"/>
      <c r="F53" s="12"/>
      <c r="G53" s="12"/>
      <c r="H53" s="12"/>
      <c r="I53" s="12"/>
      <c r="J53" s="12"/>
      <c r="K53" s="12"/>
      <c r="L53" s="12"/>
      <c r="M53" s="12"/>
      <c r="N53" s="12"/>
    </row>
    <row r="54" spans="1:14" x14ac:dyDescent="0.2">
      <c r="A54" s="9" t="s">
        <v>18</v>
      </c>
      <c r="B54" s="13"/>
      <c r="C54" s="12"/>
      <c r="D54" s="60"/>
      <c r="E54" s="61"/>
      <c r="F54" s="61"/>
      <c r="G54" s="61"/>
      <c r="H54" s="61"/>
      <c r="I54" s="12"/>
      <c r="J54" s="12"/>
      <c r="K54" s="12"/>
      <c r="L54" s="12"/>
      <c r="M54" s="12"/>
      <c r="N54" s="12"/>
    </row>
    <row r="55" spans="1:14" x14ac:dyDescent="0.2">
      <c r="A55" s="9"/>
      <c r="B55" s="12"/>
      <c r="C55" s="12"/>
      <c r="D55" s="12"/>
      <c r="E55" s="12"/>
      <c r="F55" s="12"/>
      <c r="G55" s="12"/>
      <c r="H55" s="12"/>
      <c r="I55" s="12"/>
      <c r="J55" s="12"/>
      <c r="K55" s="12"/>
      <c r="L55" s="12"/>
      <c r="M55" s="12"/>
      <c r="N55" s="12"/>
    </row>
  </sheetData>
  <sheetProtection password="8197" sheet="1" objects="1" scenarios="1" selectLockedCells="1"/>
  <mergeCells count="20">
    <mergeCell ref="K1:L1"/>
    <mergeCell ref="F3:H3"/>
    <mergeCell ref="H10:M16"/>
    <mergeCell ref="H17:M25"/>
    <mergeCell ref="B3:C3"/>
    <mergeCell ref="I5:L5"/>
    <mergeCell ref="I7:J7"/>
    <mergeCell ref="I3:L3"/>
    <mergeCell ref="C7:E7"/>
    <mergeCell ref="F5:H5"/>
    <mergeCell ref="F7:H7"/>
    <mergeCell ref="B5:D5"/>
    <mergeCell ref="H26:M30"/>
    <mergeCell ref="H31:M33"/>
    <mergeCell ref="H35:M45"/>
    <mergeCell ref="D54:H54"/>
    <mergeCell ref="K50:L50"/>
    <mergeCell ref="K52:L52"/>
    <mergeCell ref="D50:H50"/>
    <mergeCell ref="D52:H52"/>
  </mergeCells>
  <phoneticPr fontId="1" type="noConversion"/>
  <dataValidations xWindow="877" yWindow="386" count="9">
    <dataValidation type="date" operator="greaterThanOrEqual" allowBlank="1" showInputMessage="1" showErrorMessage="1" sqref="K50:L50 K52:L52">
      <formula1>36526</formula1>
    </dataValidation>
    <dataValidation type="time" allowBlank="1" showInputMessage="1" showErrorMessage="1" errorTitle="Time Entry Error" error="Enter time in the following format:_x000a__x000a_HH:MM AM  or  HH:MM PM_x000a__x000a_Eexample: 8:30 AM or 12:00 PM" promptTitle="Time Entry" prompt="Enter time in the following format:_x000a__x000a_HH:MM AM  or  HH:MM PM_x000a__x000a_Example: 8:30 AM or 12:00 PM" sqref="C29:D43 D11:D25 C12:C25">
      <formula1>0</formula1>
      <formula2>0.999305555555556</formula2>
    </dataValidation>
    <dataValidation type="list" allowBlank="1" showInputMessage="1" showErrorMessage="1" sqref="A29:A43 A11:A25">
      <formula1>$X$11:$X$17</formula1>
    </dataValidation>
    <dataValidation type="list" operator="greaterThanOrEqual" allowBlank="1" showInputMessage="1" showErrorMessage="1" errorTitle="Incorrect Pay Period Ending Date" error="The date entered is not a correct period ending date.  Enter the period ending date according to the payroll schedule." promptTitle="Enable Macro / Date Entry" prompt="Before you start, make sure Macro is enabled._x000a__x000a_Select a Pay Period Ending date." sqref="K1:L1">
      <formula1>$Y$11:$Y$37</formula1>
    </dataValidation>
    <dataValidation type="textLength" operator="equal" showInputMessage="1" showErrorMessage="1" errorTitle="ID Entry Error" error="Enter your 7-digit Bryn Mawr ID number." sqref="B3:C3">
      <formula1>7</formula1>
    </dataValidation>
    <dataValidation operator="equal" showInputMessage="1" showErrorMessage="1" errorTitle="ID Entry Error" error="Enter your 7-digit Bryn Mawr ID number." sqref="D3"/>
    <dataValidation type="decimal" operator="greaterThan" showInputMessage="1" showErrorMessage="1" sqref="I7:J7">
      <formula1>0</formula1>
    </dataValidation>
    <dataValidation type="textLength" operator="equal" allowBlank="1" showInputMessage="1" showErrorMessage="1" errorTitle="Account Number Entry Error" error="Enter account number in the following format:_x000a__x000a_N-NNNNN-NNNNN-NNNNN_x000a__x000a_Example: 1-51200-01310-99999" promptTitle="Account Number Entry" prompt="Enter account number in the following format:_x000a__x000a_N-NNNNN-NNNNN-NNNNN_x000a__x000a_Example: 1-51200-01310-99999" sqref="I5:L5">
      <formula1>19</formula1>
    </dataValidation>
    <dataValidation type="time" allowBlank="1" showInputMessage="1" showErrorMessage="1" errorTitle="Time Entry Error" error="Enter time in the following format:_x000a__x000a_HH:MM AM  or  HH:MM PM_x000a__x000a_Eexample: 8:30 AM or 12:00 PM" promptTitle="Time Entry" prompt="Enter time in the following format:_x000a__x000a_HH:MM AM  or  HH:MM PM_x000a__x000a_Example:_x000a_8:30 AM or 12:00 PM" sqref="C11">
      <formula1>0</formula1>
      <formula2>0.999305555555556</formula2>
    </dataValidation>
  </dataValidations>
  <printOptions horizontalCentered="1" verticalCentered="1"/>
  <pageMargins left="0.25" right="0.25" top="0.25" bottom="0.25" header="0.5" footer="0.5"/>
  <pageSetup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PrintTimeSheet">
                <anchor moveWithCells="1" sizeWithCells="1">
                  <from>
                    <xdr:col>7</xdr:col>
                    <xdr:colOff>0</xdr:colOff>
                    <xdr:row>46</xdr:row>
                    <xdr:rowOff>0</xdr:rowOff>
                  </from>
                  <to>
                    <xdr:col>9</xdr:col>
                    <xdr:colOff>285750</xdr:colOff>
                    <xdr:row>47</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Module1.PrintTimeSheet">
                <anchor moveWithCells="1" sizeWithCells="1">
                  <from>
                    <xdr:col>4</xdr:col>
                    <xdr:colOff>123825</xdr:colOff>
                    <xdr:row>5</xdr:row>
                    <xdr:rowOff>114300</xdr:rowOff>
                  </from>
                  <to>
                    <xdr:col>6</xdr:col>
                    <xdr:colOff>9525</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Time Sheet</vt:lpstr>
      <vt:lpstr>'Time Sheet'!Print_Area</vt:lpstr>
    </vt:vector>
  </TitlesOfParts>
  <Company>Bryn Mawr College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Computing Services</dc:creator>
  <cp:lastModifiedBy>Maria Wiemken</cp:lastModifiedBy>
  <cp:lastPrinted>2006-08-08T16:18:34Z</cp:lastPrinted>
  <dcterms:created xsi:type="dcterms:W3CDTF">2006-04-06T21:26:08Z</dcterms:created>
  <dcterms:modified xsi:type="dcterms:W3CDTF">2015-11-16T19:31:30Z</dcterms:modified>
</cp:coreProperties>
</file>